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ocuments\GitHub\DIP\gapis\"/>
    </mc:Choice>
  </mc:AlternateContent>
  <xr:revisionPtr revIDLastSave="0" documentId="13_ncr:1_{D3BDC94C-4412-43C0-BC81-1BFF3B27E4E4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" l="1"/>
  <c r="H37" i="1"/>
  <c r="I37" i="1"/>
  <c r="J37" i="1"/>
  <c r="F37" i="1"/>
</calcChain>
</file>

<file path=xl/sharedStrings.xml><?xml version="1.0" encoding="utf-8"?>
<sst xmlns="http://schemas.openxmlformats.org/spreadsheetml/2006/main" count="151" uniqueCount="88">
  <si>
    <t>Año concurso</t>
  </si>
  <si>
    <t>Código</t>
  </si>
  <si>
    <t>IR</t>
  </si>
  <si>
    <t>Departamento IR</t>
  </si>
  <si>
    <t>Instrumento</t>
  </si>
  <si>
    <t>Ppto anual total ($)</t>
  </si>
  <si>
    <t>Ppto solicitado 2026 ($)</t>
  </si>
  <si>
    <t>Overheads Total ($)</t>
  </si>
  <si>
    <t>Overheads FACSO ($)</t>
  </si>
  <si>
    <t>Overheads DIP ($)</t>
  </si>
  <si>
    <t>11240671</t>
  </si>
  <si>
    <t>Marcela Betancourt</t>
  </si>
  <si>
    <t>Educación</t>
  </si>
  <si>
    <t>Iniciación en Investigación</t>
  </si>
  <si>
    <t>11250627</t>
  </si>
  <si>
    <t>Javiera Rosell</t>
  </si>
  <si>
    <t>Psicología</t>
  </si>
  <si>
    <t>11251033</t>
  </si>
  <si>
    <t>Javiera Cubillos</t>
  </si>
  <si>
    <t>Trabajo Social</t>
  </si>
  <si>
    <t>11251819</t>
  </si>
  <si>
    <t>Carolina Villagra</t>
  </si>
  <si>
    <t>11251909</t>
  </si>
  <si>
    <t>Marcela Ferrer</t>
  </si>
  <si>
    <t>Sociología</t>
  </si>
  <si>
    <t>11251924</t>
  </si>
  <si>
    <t>Soledad Ruiz</t>
  </si>
  <si>
    <t>11261836</t>
  </si>
  <si>
    <t>Valentina Abufhele</t>
  </si>
  <si>
    <t>1230056</t>
  </si>
  <si>
    <t>Pablo Pérez</t>
  </si>
  <si>
    <t>Fondecyt Regular</t>
  </si>
  <si>
    <t>1231353</t>
  </si>
  <si>
    <t>Fernando Campos</t>
  </si>
  <si>
    <t>1231404</t>
  </si>
  <si>
    <t>Anahi Urquiza</t>
  </si>
  <si>
    <t>1231506</t>
  </si>
  <si>
    <t>Loreto Leiva</t>
  </si>
  <si>
    <t>1231815</t>
  </si>
  <si>
    <t>Mauricio Moraga</t>
  </si>
  <si>
    <t>Antropología</t>
  </si>
  <si>
    <t>1240079</t>
  </si>
  <si>
    <t>Paulina Osorio</t>
  </si>
  <si>
    <t>1240100</t>
  </si>
  <si>
    <t>Gianinna Muñoz</t>
  </si>
  <si>
    <t>1240125</t>
  </si>
  <si>
    <t>María Emilia Tijoux</t>
  </si>
  <si>
    <t>1240155</t>
  </si>
  <si>
    <t>Rodrigo Cornejo</t>
  </si>
  <si>
    <t>1240683</t>
  </si>
  <si>
    <t>Daniela Thumala</t>
  </si>
  <si>
    <t>1240805</t>
  </si>
  <si>
    <t>Kornelius Kupczik</t>
  </si>
  <si>
    <t>1240840</t>
  </si>
  <si>
    <t>María Sol Anigstein</t>
  </si>
  <si>
    <t>1240863</t>
  </si>
  <si>
    <t>Susan Sanhueza</t>
  </si>
  <si>
    <t>1240960</t>
  </si>
  <si>
    <t>Sofía Donoso</t>
  </si>
  <si>
    <t>1250064</t>
  </si>
  <si>
    <t>Mahia Saracostti</t>
  </si>
  <si>
    <t>1250185</t>
  </si>
  <si>
    <t>Carolina Belmar</t>
  </si>
  <si>
    <t>1250518</t>
  </si>
  <si>
    <t>Juan Carlos Castillo</t>
  </si>
  <si>
    <t>1250996</t>
  </si>
  <si>
    <t>Camilo Sembler</t>
  </si>
  <si>
    <t>1251233</t>
  </si>
  <si>
    <t>Andrés Troncoso</t>
  </si>
  <si>
    <t>1251297</t>
  </si>
  <si>
    <t>Sergio Toro</t>
  </si>
  <si>
    <t>1251388</t>
  </si>
  <si>
    <t>Vanetza Quezada</t>
  </si>
  <si>
    <t>1251621</t>
  </si>
  <si>
    <t>Nicolás Angelcos</t>
  </si>
  <si>
    <t>1261123</t>
  </si>
  <si>
    <t>Gabriela Rubilar</t>
  </si>
  <si>
    <t>1261505</t>
  </si>
  <si>
    <t>Francisco Araos</t>
  </si>
  <si>
    <t>1261806</t>
  </si>
  <si>
    <t>Gonzalo Durán</t>
  </si>
  <si>
    <t>1262125</t>
  </si>
  <si>
    <t>Cynthia Adlerstein</t>
  </si>
  <si>
    <t>1262149</t>
  </si>
  <si>
    <t>Isabel Piper</t>
  </si>
  <si>
    <t>1262177</t>
  </si>
  <si>
    <t>Alejandro Marambio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</si>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</sst>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42" fontId="0" fillId="0" borderId="0" xfId="1" applyFont="1"/>
    <xf numFmtId="42" fontId="1" fillId="0" borderId="0" xfId="0" applyNumberFormat="1" applyFont="1"/>
  </cellXfs>
  <cellStyles count="2">
    <cellStyle name="Moneda [0]" xfId="1" builtinId="7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89EDD4-E288-4DD9-B416-C0E20FDDFE7F}" name="Tabla2" displayName="Tabla2" ref="A1:J37" totalsRowShown="0" headerRowDxfId="0" dataDxfId="1" dataCellStyle="Moneda [0]">
  <autoFilter ref="A1:J37" xr:uid="{F289EDD4-E288-4DD9-B416-C0E20FDDFE7F}"/>
  <tableColumns count="10">
    <tableColumn id="1" xr3:uid="{D5EA9704-5D2F-4C54-8F7B-B85FF68043F5}" name="Año concurso"/>
    <tableColumn id="2" xr3:uid="{D7E9BF49-7B03-4EC3-A35B-BF9504C73A37}" name="Código"/>
    <tableColumn id="3" xr3:uid="{2197FD10-36A9-46CD-B7AB-A4F089EC44B5}" name="IR"/>
    <tableColumn id="4" xr3:uid="{A5DC13C6-05A5-4367-BBAD-6312738A6B5C}" name="Departamento IR"/>
    <tableColumn id="5" xr3:uid="{448C73BB-4775-43C5-8881-444B77FBD59F}" name="Instrumento"/>
    <tableColumn id="6" xr3:uid="{8DEFD0AA-C79A-4C32-812E-C5872E9B4B54}" name="Ppto anual total ($)" dataDxfId="6" dataCellStyle="Moneda [0]"/>
    <tableColumn id="7" xr3:uid="{7CA38BC9-230A-468B-A091-29169479A36A}" name="Ppto solicitado 2026 ($)" dataDxfId="5" dataCellStyle="Moneda [0]"/>
    <tableColumn id="8" xr3:uid="{DF6C6B4F-68F0-4E90-9218-E6BC7153C867}" name="Overheads Total ($)" dataDxfId="4" dataCellStyle="Moneda [0]"/>
    <tableColumn id="9" xr3:uid="{EC51866B-3567-405E-AD5E-2F89C9B49A73}" name="Overheads FACSO ($)" dataDxfId="3" dataCellStyle="Moneda [0]"/>
    <tableColumn id="10" xr3:uid="{40DDF825-728F-4EE8-8629-ABC0E69DB177}" name="Overheads DIP ($)" dataDxfId="2" dataCellStyle="Moneda [0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topLeftCell="A19" workbookViewId="0">
      <selection activeCell="J22" sqref="J22"/>
    </sheetView>
  </sheetViews>
  <sheetFormatPr baseColWidth="10" defaultColWidth="9.140625" defaultRowHeight="15" x14ac:dyDescent="0.25"/>
  <cols>
    <col min="1" max="1" width="15" customWidth="1"/>
    <col min="2" max="2" width="9.28515625" customWidth="1"/>
    <col min="3" max="3" width="19.28515625" bestFit="1" customWidth="1"/>
    <col min="4" max="4" width="18.140625" customWidth="1"/>
    <col min="5" max="5" width="24.5703125" bestFit="1" customWidth="1"/>
    <col min="6" max="6" width="20" customWidth="1"/>
    <col min="7" max="7" width="23.5703125" customWidth="1"/>
    <col min="8" max="8" width="20.42578125" customWidth="1"/>
    <col min="9" max="9" width="21.85546875" customWidth="1"/>
    <col min="10" max="10" width="19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>
        <v>2024</v>
      </c>
      <c r="B2" t="s">
        <v>10</v>
      </c>
      <c r="C2" t="s">
        <v>11</v>
      </c>
      <c r="D2" t="s">
        <v>12</v>
      </c>
      <c r="E2" t="s">
        <v>13</v>
      </c>
      <c r="F2" s="2">
        <v>23148000</v>
      </c>
      <c r="G2" s="2">
        <v>13040000</v>
      </c>
      <c r="H2" s="2">
        <v>2608000</v>
      </c>
      <c r="I2" s="2">
        <v>1956000</v>
      </c>
      <c r="J2" s="2">
        <v>195600</v>
      </c>
    </row>
    <row r="3" spans="1:10" x14ac:dyDescent="0.25">
      <c r="A3">
        <v>2025</v>
      </c>
      <c r="B3" t="s">
        <v>14</v>
      </c>
      <c r="C3" t="s">
        <v>15</v>
      </c>
      <c r="D3" t="s">
        <v>16</v>
      </c>
      <c r="E3" t="s">
        <v>13</v>
      </c>
      <c r="F3" s="2">
        <v>30950000</v>
      </c>
      <c r="G3" s="2">
        <v>19541667</v>
      </c>
      <c r="H3" s="2">
        <v>3908333.333333333</v>
      </c>
      <c r="I3" s="2">
        <v>2931250</v>
      </c>
      <c r="J3" s="2">
        <v>293125</v>
      </c>
    </row>
    <row r="4" spans="1:10" x14ac:dyDescent="0.25">
      <c r="A4">
        <v>2025</v>
      </c>
      <c r="B4" t="s">
        <v>17</v>
      </c>
      <c r="C4" t="s">
        <v>18</v>
      </c>
      <c r="D4" t="s">
        <v>19</v>
      </c>
      <c r="E4" t="s">
        <v>13</v>
      </c>
      <c r="F4" s="2">
        <v>32208000</v>
      </c>
      <c r="G4" s="2">
        <v>20590000</v>
      </c>
      <c r="H4" s="2">
        <v>4118000</v>
      </c>
      <c r="I4" s="2">
        <v>3088500</v>
      </c>
      <c r="J4" s="2">
        <v>308850</v>
      </c>
    </row>
    <row r="5" spans="1:10" x14ac:dyDescent="0.25">
      <c r="A5">
        <v>2025</v>
      </c>
      <c r="B5" t="s">
        <v>20</v>
      </c>
      <c r="C5" t="s">
        <v>21</v>
      </c>
      <c r="D5" t="s">
        <v>16</v>
      </c>
      <c r="E5" t="s">
        <v>13</v>
      </c>
      <c r="F5" s="2">
        <v>25974000</v>
      </c>
      <c r="G5" s="2">
        <v>15395000</v>
      </c>
      <c r="H5" s="2">
        <v>3079000</v>
      </c>
      <c r="I5" s="2">
        <v>2309250</v>
      </c>
      <c r="J5" s="2">
        <v>230925</v>
      </c>
    </row>
    <row r="6" spans="1:10" x14ac:dyDescent="0.25">
      <c r="A6">
        <v>2025</v>
      </c>
      <c r="B6" t="s">
        <v>22</v>
      </c>
      <c r="C6" t="s">
        <v>23</v>
      </c>
      <c r="D6" t="s">
        <v>24</v>
      </c>
      <c r="E6" t="s">
        <v>13</v>
      </c>
      <c r="F6" s="2">
        <v>34746000</v>
      </c>
      <c r="G6" s="2">
        <v>22705000</v>
      </c>
      <c r="H6" s="2">
        <v>4541000</v>
      </c>
      <c r="I6" s="2">
        <v>3405750</v>
      </c>
      <c r="J6" s="2">
        <v>340575</v>
      </c>
    </row>
    <row r="7" spans="1:10" x14ac:dyDescent="0.25">
      <c r="A7">
        <v>2025</v>
      </c>
      <c r="B7" t="s">
        <v>25</v>
      </c>
      <c r="C7" t="s">
        <v>26</v>
      </c>
      <c r="D7" t="s">
        <v>16</v>
      </c>
      <c r="E7" t="s">
        <v>13</v>
      </c>
      <c r="F7" s="2">
        <v>34322000</v>
      </c>
      <c r="G7" s="2">
        <v>22351667</v>
      </c>
      <c r="H7" s="2">
        <v>4470333.333333333</v>
      </c>
      <c r="I7" s="2">
        <v>3352750</v>
      </c>
      <c r="J7" s="2">
        <v>335275</v>
      </c>
    </row>
    <row r="8" spans="1:10" x14ac:dyDescent="0.25">
      <c r="A8">
        <v>2026</v>
      </c>
      <c r="B8" t="s">
        <v>27</v>
      </c>
      <c r="C8" t="s">
        <v>28</v>
      </c>
      <c r="D8" t="s">
        <v>19</v>
      </c>
      <c r="E8" t="s">
        <v>13</v>
      </c>
      <c r="F8" s="2">
        <v>33892000</v>
      </c>
      <c r="G8" s="2">
        <v>21993333</v>
      </c>
      <c r="H8" s="2">
        <v>4398666.666666667</v>
      </c>
      <c r="I8" s="2">
        <v>3299000</v>
      </c>
      <c r="J8" s="2">
        <v>329900</v>
      </c>
    </row>
    <row r="9" spans="1:10" x14ac:dyDescent="0.25">
      <c r="A9">
        <v>2023</v>
      </c>
      <c r="B9" t="s">
        <v>29</v>
      </c>
      <c r="C9" t="s">
        <v>30</v>
      </c>
      <c r="D9" t="s">
        <v>24</v>
      </c>
      <c r="E9" t="s">
        <v>31</v>
      </c>
      <c r="F9" s="2">
        <v>15000000</v>
      </c>
      <c r="G9" s="2">
        <v>6250000</v>
      </c>
      <c r="H9" s="2">
        <v>1250000</v>
      </c>
      <c r="I9" s="2">
        <v>937500</v>
      </c>
      <c r="J9" s="2">
        <v>93750</v>
      </c>
    </row>
    <row r="10" spans="1:10" x14ac:dyDescent="0.25">
      <c r="A10">
        <v>2023</v>
      </c>
      <c r="B10" t="s">
        <v>32</v>
      </c>
      <c r="C10" t="s">
        <v>33</v>
      </c>
      <c r="D10" t="s">
        <v>24</v>
      </c>
      <c r="E10" t="s">
        <v>31</v>
      </c>
      <c r="F10" s="2">
        <v>50785000</v>
      </c>
      <c r="G10" s="2">
        <v>36070833</v>
      </c>
      <c r="H10" s="2">
        <v>7214166.666666667</v>
      </c>
      <c r="I10" s="2">
        <v>5410625</v>
      </c>
      <c r="J10" s="2">
        <v>541062.5</v>
      </c>
    </row>
    <row r="11" spans="1:10" x14ac:dyDescent="0.25">
      <c r="A11">
        <v>2023</v>
      </c>
      <c r="B11" t="s">
        <v>34</v>
      </c>
      <c r="C11" t="s">
        <v>35</v>
      </c>
      <c r="D11" t="s">
        <v>19</v>
      </c>
      <c r="E11" t="s">
        <v>31</v>
      </c>
      <c r="F11" s="2">
        <v>56700000</v>
      </c>
      <c r="G11" s="2">
        <v>41000000</v>
      </c>
      <c r="H11" s="2">
        <v>8200000</v>
      </c>
      <c r="I11" s="2">
        <v>6150000</v>
      </c>
      <c r="J11" s="2">
        <v>615000</v>
      </c>
    </row>
    <row r="12" spans="1:10" x14ac:dyDescent="0.25">
      <c r="A12">
        <v>2023</v>
      </c>
      <c r="B12" t="s">
        <v>36</v>
      </c>
      <c r="C12" t="s">
        <v>37</v>
      </c>
      <c r="D12" t="s">
        <v>16</v>
      </c>
      <c r="E12" t="s">
        <v>31</v>
      </c>
      <c r="F12" s="2">
        <v>60774000</v>
      </c>
      <c r="G12" s="2">
        <v>44395000</v>
      </c>
      <c r="H12" s="2">
        <v>8879000</v>
      </c>
      <c r="I12" s="2">
        <v>6659250</v>
      </c>
      <c r="J12" s="2">
        <v>665925</v>
      </c>
    </row>
    <row r="13" spans="1:10" x14ac:dyDescent="0.25">
      <c r="A13">
        <v>2023</v>
      </c>
      <c r="B13" t="s">
        <v>38</v>
      </c>
      <c r="C13" t="s">
        <v>39</v>
      </c>
      <c r="D13" t="s">
        <v>40</v>
      </c>
      <c r="E13" t="s">
        <v>31</v>
      </c>
      <c r="F13" s="2">
        <v>46755000</v>
      </c>
      <c r="G13" s="2">
        <v>32712500</v>
      </c>
      <c r="H13" s="2">
        <v>6542500</v>
      </c>
      <c r="I13" s="2">
        <v>4906875</v>
      </c>
      <c r="J13" s="2">
        <v>490687.5</v>
      </c>
    </row>
    <row r="14" spans="1:10" x14ac:dyDescent="0.25">
      <c r="A14">
        <v>2024</v>
      </c>
      <c r="B14" t="s">
        <v>41</v>
      </c>
      <c r="C14" t="s">
        <v>42</v>
      </c>
      <c r="D14" t="s">
        <v>40</v>
      </c>
      <c r="E14" t="s">
        <v>31</v>
      </c>
      <c r="F14" s="2">
        <v>29800000</v>
      </c>
      <c r="G14" s="2">
        <v>18583333</v>
      </c>
      <c r="H14" s="2">
        <v>3716666.666666667</v>
      </c>
      <c r="I14" s="2">
        <v>2787500</v>
      </c>
      <c r="J14" s="2">
        <v>278750</v>
      </c>
    </row>
    <row r="15" spans="1:10" x14ac:dyDescent="0.25">
      <c r="A15">
        <v>2024</v>
      </c>
      <c r="B15" t="s">
        <v>43</v>
      </c>
      <c r="C15" t="s">
        <v>44</v>
      </c>
      <c r="D15" t="s">
        <v>19</v>
      </c>
      <c r="E15" t="s">
        <v>31</v>
      </c>
      <c r="F15" s="2">
        <v>63637000</v>
      </c>
      <c r="G15" s="2">
        <v>46780833</v>
      </c>
      <c r="H15" s="2">
        <v>9356166.666666666</v>
      </c>
      <c r="I15" s="2">
        <v>7017125</v>
      </c>
      <c r="J15" s="2">
        <v>701712.5</v>
      </c>
    </row>
    <row r="16" spans="1:10" x14ac:dyDescent="0.25">
      <c r="A16">
        <v>2024</v>
      </c>
      <c r="B16" t="s">
        <v>45</v>
      </c>
      <c r="C16" t="s">
        <v>46</v>
      </c>
      <c r="D16" t="s">
        <v>24</v>
      </c>
      <c r="E16" t="s">
        <v>31</v>
      </c>
      <c r="F16" s="2">
        <v>65512000</v>
      </c>
      <c r="G16" s="2">
        <v>48343333</v>
      </c>
      <c r="H16" s="2">
        <v>9668666.666666666</v>
      </c>
      <c r="I16" s="2">
        <v>7251500</v>
      </c>
      <c r="J16" s="2">
        <v>725150</v>
      </c>
    </row>
    <row r="17" spans="1:10" x14ac:dyDescent="0.25">
      <c r="A17">
        <v>2024</v>
      </c>
      <c r="B17" t="s">
        <v>47</v>
      </c>
      <c r="C17" t="s">
        <v>48</v>
      </c>
      <c r="D17" t="s">
        <v>16</v>
      </c>
      <c r="E17" t="s">
        <v>31</v>
      </c>
      <c r="F17" s="2">
        <v>64789000</v>
      </c>
      <c r="G17" s="2">
        <v>47740833</v>
      </c>
      <c r="H17" s="2">
        <v>9548166.666666666</v>
      </c>
      <c r="I17" s="2">
        <v>7161125</v>
      </c>
      <c r="J17" s="2">
        <v>716112.5</v>
      </c>
    </row>
    <row r="18" spans="1:10" x14ac:dyDescent="0.25">
      <c r="A18">
        <v>2024</v>
      </c>
      <c r="B18" t="s">
        <v>49</v>
      </c>
      <c r="C18" t="s">
        <v>50</v>
      </c>
      <c r="D18" t="s">
        <v>16</v>
      </c>
      <c r="E18" t="s">
        <v>31</v>
      </c>
      <c r="F18" s="2">
        <v>62832000</v>
      </c>
      <c r="G18" s="2">
        <v>46110000</v>
      </c>
      <c r="H18" s="2">
        <v>9222000</v>
      </c>
      <c r="I18" s="2">
        <v>6916500</v>
      </c>
      <c r="J18" s="2">
        <v>691650</v>
      </c>
    </row>
    <row r="19" spans="1:10" x14ac:dyDescent="0.25">
      <c r="A19">
        <v>2024</v>
      </c>
      <c r="B19" t="s">
        <v>51</v>
      </c>
      <c r="C19" t="s">
        <v>52</v>
      </c>
      <c r="D19" t="s">
        <v>40</v>
      </c>
      <c r="E19" t="s">
        <v>31</v>
      </c>
      <c r="F19" s="2">
        <v>61940000</v>
      </c>
      <c r="G19" s="2">
        <v>45366667</v>
      </c>
      <c r="H19" s="2">
        <v>9073333.333333334</v>
      </c>
      <c r="I19" s="2">
        <v>6805000</v>
      </c>
      <c r="J19" s="2">
        <v>680500</v>
      </c>
    </row>
    <row r="20" spans="1:10" x14ac:dyDescent="0.25">
      <c r="A20">
        <v>2024</v>
      </c>
      <c r="B20" t="s">
        <v>53</v>
      </c>
      <c r="C20" t="s">
        <v>54</v>
      </c>
      <c r="D20" t="s">
        <v>40</v>
      </c>
      <c r="E20" t="s">
        <v>31</v>
      </c>
      <c r="F20" s="2">
        <v>34543000</v>
      </c>
      <c r="G20" s="2">
        <v>22535833</v>
      </c>
      <c r="H20" s="2">
        <v>4507166.666666667</v>
      </c>
      <c r="I20" s="2">
        <v>3380375</v>
      </c>
      <c r="J20" s="2">
        <v>338037.5</v>
      </c>
    </row>
    <row r="21" spans="1:10" x14ac:dyDescent="0.25">
      <c r="A21">
        <v>2024</v>
      </c>
      <c r="B21" t="s">
        <v>55</v>
      </c>
      <c r="C21" t="s">
        <v>56</v>
      </c>
      <c r="D21" t="s">
        <v>12</v>
      </c>
      <c r="E21" t="s">
        <v>31</v>
      </c>
      <c r="F21" s="2">
        <v>64316000</v>
      </c>
      <c r="G21" s="2">
        <v>47346667</v>
      </c>
      <c r="H21" s="2">
        <v>9469333.333333334</v>
      </c>
      <c r="I21" s="2">
        <v>7102000</v>
      </c>
      <c r="J21" s="2">
        <v>710200</v>
      </c>
    </row>
    <row r="22" spans="1:10" x14ac:dyDescent="0.25">
      <c r="A22">
        <v>2024</v>
      </c>
      <c r="B22" t="s">
        <v>57</v>
      </c>
      <c r="C22" t="s">
        <v>58</v>
      </c>
      <c r="D22" t="s">
        <v>24</v>
      </c>
      <c r="E22" t="s">
        <v>31</v>
      </c>
      <c r="F22" s="2">
        <v>38442000</v>
      </c>
      <c r="G22" s="2">
        <v>25785000</v>
      </c>
      <c r="H22" s="2">
        <v>5157000</v>
      </c>
      <c r="I22" s="2">
        <v>3867750</v>
      </c>
      <c r="J22" s="2">
        <v>386775</v>
      </c>
    </row>
    <row r="23" spans="1:10" x14ac:dyDescent="0.25">
      <c r="A23">
        <v>2025</v>
      </c>
      <c r="B23" t="s">
        <v>59</v>
      </c>
      <c r="C23" t="s">
        <v>60</v>
      </c>
      <c r="D23" t="s">
        <v>19</v>
      </c>
      <c r="E23" t="s">
        <v>31</v>
      </c>
      <c r="F23" s="2">
        <v>66620000</v>
      </c>
      <c r="G23" s="2">
        <v>49266667</v>
      </c>
      <c r="H23" s="2">
        <v>9853333.333333334</v>
      </c>
      <c r="I23" s="2">
        <v>7390000</v>
      </c>
      <c r="J23" s="2">
        <v>739000</v>
      </c>
    </row>
    <row r="24" spans="1:10" x14ac:dyDescent="0.25">
      <c r="A24">
        <v>2025</v>
      </c>
      <c r="B24" t="s">
        <v>61</v>
      </c>
      <c r="C24" t="s">
        <v>62</v>
      </c>
      <c r="D24" t="s">
        <v>40</v>
      </c>
      <c r="E24" t="s">
        <v>31</v>
      </c>
      <c r="F24" s="2">
        <v>66140000</v>
      </c>
      <c r="G24" s="2">
        <v>48866667</v>
      </c>
      <c r="H24" s="2">
        <v>9773333.333333334</v>
      </c>
      <c r="I24" s="2">
        <v>7330000</v>
      </c>
      <c r="J24" s="2">
        <v>733000</v>
      </c>
    </row>
    <row r="25" spans="1:10" x14ac:dyDescent="0.25">
      <c r="A25">
        <v>2025</v>
      </c>
      <c r="B25" t="s">
        <v>63</v>
      </c>
      <c r="C25" t="s">
        <v>64</v>
      </c>
      <c r="D25" t="s">
        <v>24</v>
      </c>
      <c r="E25" t="s">
        <v>31</v>
      </c>
      <c r="F25" s="2">
        <v>64740000</v>
      </c>
      <c r="G25" s="2">
        <v>47700000</v>
      </c>
      <c r="H25" s="2">
        <v>9540000</v>
      </c>
      <c r="I25" s="2">
        <v>7155000</v>
      </c>
      <c r="J25" s="2">
        <v>715500</v>
      </c>
    </row>
    <row r="26" spans="1:10" x14ac:dyDescent="0.25">
      <c r="A26">
        <v>2025</v>
      </c>
      <c r="B26" t="s">
        <v>65</v>
      </c>
      <c r="C26" t="s">
        <v>66</v>
      </c>
      <c r="D26" t="s">
        <v>24</v>
      </c>
      <c r="E26" t="s">
        <v>31</v>
      </c>
      <c r="F26" s="2">
        <v>56268000</v>
      </c>
      <c r="G26" s="2">
        <v>40640000</v>
      </c>
      <c r="H26" s="2">
        <v>8128000</v>
      </c>
      <c r="I26" s="2">
        <v>6096000</v>
      </c>
      <c r="J26" s="2">
        <v>609600</v>
      </c>
    </row>
    <row r="27" spans="1:10" x14ac:dyDescent="0.25">
      <c r="A27">
        <v>2025</v>
      </c>
      <c r="B27" t="s">
        <v>67</v>
      </c>
      <c r="C27" t="s">
        <v>68</v>
      </c>
      <c r="D27" t="s">
        <v>40</v>
      </c>
      <c r="E27" t="s">
        <v>31</v>
      </c>
      <c r="F27" s="2">
        <v>63348000</v>
      </c>
      <c r="G27" s="2">
        <v>46540000</v>
      </c>
      <c r="H27" s="2">
        <v>9308000</v>
      </c>
      <c r="I27" s="2">
        <v>6981000</v>
      </c>
      <c r="J27" s="2">
        <v>698100</v>
      </c>
    </row>
    <row r="28" spans="1:10" x14ac:dyDescent="0.25">
      <c r="A28">
        <v>2025</v>
      </c>
      <c r="B28" t="s">
        <v>69</v>
      </c>
      <c r="C28" t="s">
        <v>70</v>
      </c>
      <c r="D28" t="s">
        <v>12</v>
      </c>
      <c r="E28" t="s">
        <v>31</v>
      </c>
      <c r="F28" s="2">
        <v>53700000</v>
      </c>
      <c r="G28" s="2">
        <v>38500000</v>
      </c>
      <c r="H28" s="2">
        <v>7700000</v>
      </c>
      <c r="I28" s="2">
        <v>5775000</v>
      </c>
      <c r="J28" s="2">
        <v>577500</v>
      </c>
    </row>
    <row r="29" spans="1:10" x14ac:dyDescent="0.25">
      <c r="A29">
        <v>2025</v>
      </c>
      <c r="B29" t="s">
        <v>71</v>
      </c>
      <c r="C29" t="s">
        <v>72</v>
      </c>
      <c r="D29" t="s">
        <v>16</v>
      </c>
      <c r="E29" t="s">
        <v>31</v>
      </c>
      <c r="F29" s="2">
        <v>58160000</v>
      </c>
      <c r="G29" s="2">
        <v>42216667</v>
      </c>
      <c r="H29" s="2">
        <v>8443333.333333334</v>
      </c>
      <c r="I29" s="2">
        <v>6332500</v>
      </c>
      <c r="J29" s="2">
        <v>633250</v>
      </c>
    </row>
    <row r="30" spans="1:10" x14ac:dyDescent="0.25">
      <c r="A30">
        <v>2025</v>
      </c>
      <c r="B30" t="s">
        <v>73</v>
      </c>
      <c r="C30" t="s">
        <v>74</v>
      </c>
      <c r="D30" t="s">
        <v>24</v>
      </c>
      <c r="E30" t="s">
        <v>31</v>
      </c>
      <c r="F30" s="2">
        <v>43348000</v>
      </c>
      <c r="G30" s="2">
        <v>29873333</v>
      </c>
      <c r="H30" s="2">
        <v>5974666.666666667</v>
      </c>
      <c r="I30" s="2">
        <v>4481000</v>
      </c>
      <c r="J30" s="2">
        <v>448100</v>
      </c>
    </row>
    <row r="31" spans="1:10" x14ac:dyDescent="0.25">
      <c r="A31">
        <v>2026</v>
      </c>
      <c r="B31" t="s">
        <v>75</v>
      </c>
      <c r="C31" t="s">
        <v>76</v>
      </c>
      <c r="D31" t="s">
        <v>19</v>
      </c>
      <c r="E31" t="s">
        <v>31</v>
      </c>
      <c r="F31" s="2">
        <v>38040000</v>
      </c>
      <c r="G31" s="2">
        <v>25450000</v>
      </c>
      <c r="H31" s="2">
        <v>5090000</v>
      </c>
      <c r="I31" s="2">
        <v>3817500</v>
      </c>
      <c r="J31" s="2">
        <v>381750</v>
      </c>
    </row>
    <row r="32" spans="1:10" x14ac:dyDescent="0.25">
      <c r="A32">
        <v>2026</v>
      </c>
      <c r="B32" t="s">
        <v>77</v>
      </c>
      <c r="C32" t="s">
        <v>78</v>
      </c>
      <c r="D32" t="s">
        <v>40</v>
      </c>
      <c r="E32" t="s">
        <v>31</v>
      </c>
      <c r="F32" s="2">
        <v>57400000</v>
      </c>
      <c r="G32" s="2">
        <v>41583333</v>
      </c>
      <c r="H32" s="2">
        <v>8316666.666666667</v>
      </c>
      <c r="I32" s="2">
        <v>6237500</v>
      </c>
      <c r="J32" s="2">
        <v>623750</v>
      </c>
    </row>
    <row r="33" spans="1:10" x14ac:dyDescent="0.25">
      <c r="A33">
        <v>2026</v>
      </c>
      <c r="B33" t="s">
        <v>79</v>
      </c>
      <c r="C33" t="s">
        <v>80</v>
      </c>
      <c r="D33" t="s">
        <v>19</v>
      </c>
      <c r="E33" t="s">
        <v>31</v>
      </c>
      <c r="F33" s="2">
        <v>58788000</v>
      </c>
      <c r="G33" s="2">
        <v>42740000</v>
      </c>
      <c r="H33" s="2">
        <v>8548000</v>
      </c>
      <c r="I33" s="2">
        <v>6411000</v>
      </c>
      <c r="J33" s="2">
        <v>641100</v>
      </c>
    </row>
    <row r="34" spans="1:10" x14ac:dyDescent="0.25">
      <c r="A34">
        <v>2026</v>
      </c>
      <c r="B34" t="s">
        <v>81</v>
      </c>
      <c r="C34" t="s">
        <v>82</v>
      </c>
      <c r="D34" t="s">
        <v>12</v>
      </c>
      <c r="E34" t="s">
        <v>31</v>
      </c>
      <c r="F34" s="2">
        <v>62284000</v>
      </c>
      <c r="G34" s="2">
        <v>45653333</v>
      </c>
      <c r="H34" s="2">
        <v>9130666.666666666</v>
      </c>
      <c r="I34" s="2">
        <v>6848000</v>
      </c>
      <c r="J34" s="2">
        <v>684800</v>
      </c>
    </row>
    <row r="35" spans="1:10" x14ac:dyDescent="0.25">
      <c r="A35">
        <v>2026</v>
      </c>
      <c r="B35" t="s">
        <v>83</v>
      </c>
      <c r="C35" t="s">
        <v>84</v>
      </c>
      <c r="D35" t="s">
        <v>16</v>
      </c>
      <c r="E35" t="s">
        <v>31</v>
      </c>
      <c r="F35" s="2">
        <v>66182000</v>
      </c>
      <c r="G35" s="2">
        <v>48901667</v>
      </c>
      <c r="H35" s="2">
        <v>9780333.333333334</v>
      </c>
      <c r="I35" s="2">
        <v>7335250</v>
      </c>
      <c r="J35" s="2">
        <v>733525</v>
      </c>
    </row>
    <row r="36" spans="1:10" x14ac:dyDescent="0.25">
      <c r="A36">
        <v>2026</v>
      </c>
      <c r="B36" t="s">
        <v>85</v>
      </c>
      <c r="C36" t="s">
        <v>86</v>
      </c>
      <c r="D36" t="s">
        <v>19</v>
      </c>
      <c r="E36" t="s">
        <v>31</v>
      </c>
      <c r="F36" s="2">
        <v>54060000</v>
      </c>
      <c r="G36" s="2">
        <v>38800000</v>
      </c>
      <c r="H36" s="2">
        <v>7760000</v>
      </c>
      <c r="I36" s="2">
        <v>5820000</v>
      </c>
      <c r="J36" s="2">
        <v>582000</v>
      </c>
    </row>
    <row r="37" spans="1:10" x14ac:dyDescent="0.25">
      <c r="A37" s="1"/>
      <c r="B37" s="1"/>
      <c r="C37" s="1"/>
      <c r="D37" s="1"/>
      <c r="E37" s="1" t="s">
        <v>87</v>
      </c>
      <c r="F37" s="3">
        <f>SUM(F2:F36)</f>
        <v>1740143000</v>
      </c>
      <c r="G37" s="3">
        <f t="shared" ref="G37:J37" si="0">SUM(G2:G36)</f>
        <v>1231369166</v>
      </c>
      <c r="H37" s="3">
        <f t="shared" si="0"/>
        <v>246273833.33333334</v>
      </c>
      <c r="I37" s="3">
        <f t="shared" si="0"/>
        <v>184705375</v>
      </c>
      <c r="J37" s="3">
        <f t="shared" si="0"/>
        <v>18470537.5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Nicolas Cortes Paredes (gabriel.cortes)</cp:lastModifiedBy>
  <dcterms:created xsi:type="dcterms:W3CDTF">2026-08-31T18:58:47Z</dcterms:created>
  <dcterms:modified xsi:type="dcterms:W3CDTF">2026-08-31T19:02:30Z</dcterms:modified>
</cp:coreProperties>
</file>