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GitHub\DIP\gapis\"/>
    </mc:Choice>
  </mc:AlternateContent>
  <xr:revisionPtr revIDLastSave="0" documentId="13_ncr:1_{385DF29A-2123-49E3-9566-5669A6D7351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ja1" sheetId="2" r:id="rId1"/>
    <sheet name="Sheet1" sheetId="1" r:id="rId2"/>
  </sheet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<sst xmlns="http://schemas.openxmlformats.org/spreadsheetml/2006/main" count="82" uniqueCount="49">
  <si>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>Año concurso</t>
  </si>
  <si>
    <t>Código</t>
  </si>
  <si>
    <t>IR</t>
  </si>
  <si>
    <t>Instrumento</t>
  </si>
  <si>
    <t>Ppto anual total ($)</t>
  </si>
  <si>
    <t>Ppto solicitado 2025 ($)</t>
  </si>
  <si>
    <t>Overheads Total ($)</t>
  </si>
  <si>
    <t>Overheads FACSO ($)</t>
  </si>
  <si>
    <t>Overheads DIP ($)</t>
  </si>
  <si>
    <t>Javiera Andrea Cubillos Almendra</t>
  </si>
  <si>
    <t>Iniciación en Investigación</t>
  </si>
  <si>
    <t>Carolina Aurora Villagra Pincheira</t>
  </si>
  <si>
    <t>Marcela Patricia Ferrer Lues</t>
  </si>
  <si>
    <t>Maria Soledad Ruiz Jabbaz</t>
  </si>
  <si>
    <t>Carolina Andrea Belmar Pantelis</t>
  </si>
  <si>
    <t>Regular</t>
  </si>
  <si>
    <t>Juan Carlos Castillo Valenzuela</t>
  </si>
  <si>
    <t>Andres Rolando Troncoso Melendez</t>
  </si>
  <si>
    <t>Sergio Alejandro Toro Arevalo</t>
  </si>
  <si>
    <t>Vanetza Estela Quezada Scholz</t>
  </si>
  <si>
    <t>Nicolas Salvador Gregorio Angelcos Gutierrez</t>
  </si>
  <si>
    <t>Marcela Eliana Betancourt Saez</t>
  </si>
  <si>
    <t>Paulina Isabel Osorio Parraguez</t>
  </si>
  <si>
    <t>Gianinna Ines Munoz Arce</t>
  </si>
  <si>
    <t>Maria Emilia Tijoux Merino</t>
  </si>
  <si>
    <t>Rodrigo Carlos Cornejo Chavez</t>
  </si>
  <si>
    <t>Daniela Cecilia Thumala Dockendorff</t>
  </si>
  <si>
    <t>Kornelius Florian Kupczik</t>
  </si>
  <si>
    <t>Maria Sol Anigstein</t>
  </si>
  <si>
    <t>Susan Valeria Sanhueza Henriquez</t>
  </si>
  <si>
    <t>Daniel Andres Miranda Fuenzalida</t>
  </si>
  <si>
    <t>Sofia Catalina Donoso Knaudt</t>
  </si>
  <si>
    <t>Pablo Alonso Perez Ahumada</t>
  </si>
  <si>
    <t>Maria Gabriela Rubilar Donoso</t>
  </si>
  <si>
    <t>Tal Reininger Pollak</t>
  </si>
  <si>
    <t>Fernando Andres Campos Medina</t>
  </si>
  <si>
    <t>Anahi Veronica Josefina Urquiza Gomez</t>
  </si>
  <si>
    <t>Loreto Evelyn Leiva Bahamondes</t>
  </si>
  <si>
    <t>Lorena Andrea Perez Roa</t>
  </si>
  <si>
    <t>Hillary Carroll Hiner</t>
  </si>
  <si>
    <t>Maria Lorena Sanhueza Riquelme</t>
  </si>
  <si>
    <t>Rodrigo Anselmo Asun Inostroza</t>
  </si>
  <si>
    <t>Francisco Javier Araos Leiva</t>
  </si>
  <si>
    <t>Gonzalo Javier Miguez Cavieres</t>
  </si>
  <si>
    <t>Emiliano Nicolas Gissi Barbieri</t>
  </si>
  <si>
    <t>Patricio Felipe De Souza Herreros</t>
  </si>
  <si>
    <t>Etiquetas de fila</t>
  </si>
  <si>
    <t>Total general</t>
  </si>
  <si>
    <t>Suma de Overheads DIP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</si>
</sst>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  <xf numFmtId="42" fontId="0" fillId="0" borderId="0" xfId="1" applyFont="1"/>
  </cellXfs>
  <cellStyles count="2">
    <cellStyle name="Moneda [0]" xfId="1" builtinId="7"/>
    <cellStyle name="Normal" xfId="0" builtinId="0"/>
  </cellStyles>
  <dxfs count="6"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40.43617523148" createdVersion="8" refreshedVersion="8" minRefreshableVersion="3" recordCount="35" xr:uid="{0DCFC476-C086-4F2D-A365-C5EEA27D4680}">
  <cacheSource type="worksheet">
    <worksheetSource ref="A1:I36" sheet="Sheet1"/>
  </cacheSource>
  <cacheFields count="9">
    <cacheField name="Año concurso" numFmtId="0">
      <sharedItems containsSemiMixedTypes="0" containsString="0" containsNumber="1" containsInteger="1" minValue="2022" maxValue="2025" count="4">
        <n v="2025"/>
        <n v="2024"/>
        <n v="2023"/>
        <n v="2022"/>
      </sharedItems>
    </cacheField>
    <cacheField name="Código" numFmtId="0">
      <sharedItems containsSemiMixedTypes="0" containsString="0" containsNumber="1" containsInteger="1" minValue="1220039" maxValue="11251924" count="35">
        <n v="11251033"/>
        <n v="11251819"/>
        <n v="11251909"/>
        <n v="11251924"/>
        <n v="1250185"/>
        <n v="1250518"/>
        <n v="1251233"/>
        <n v="1251297"/>
        <n v="1251388"/>
        <n v="1251621"/>
        <n v="11240671"/>
        <n v="1240079"/>
        <n v="1240100"/>
        <n v="1240125"/>
        <n v="1240155"/>
        <n v="1240683"/>
        <n v="1240805"/>
        <n v="1240840"/>
        <n v="1240863"/>
        <n v="1240922"/>
        <n v="1240960"/>
        <n v="1230056"/>
        <n v="1230605"/>
        <n v="1230925"/>
        <n v="1231353"/>
        <n v="1231404"/>
        <n v="1231506"/>
        <n v="1220039"/>
        <n v="1220139"/>
        <n v="1220203"/>
        <n v="1220385"/>
        <n v="1220430"/>
        <n v="1220797"/>
        <n v="1220993"/>
        <n v="1221106"/>
      </sharedItems>
    </cacheField>
    <cacheField name="IR" numFmtId="0">
      <sharedItems/>
    </cacheField>
    <cacheField name="Instrumento" numFmtId="0">
      <sharedItems count="2">
        <s v="Iniciación en Investigación"/>
        <s v="Regular"/>
      </sharedItems>
    </cacheField>
    <cacheField name="Ppto anual total ($)" numFmtId="0">
      <sharedItems containsSemiMixedTypes="0" containsString="0" containsNumber="1" containsInteger="1" minValue="6500000" maxValue="59057000"/>
    </cacheField>
    <cacheField name="Ppto solicitado 2025 ($)" numFmtId="0">
      <sharedItems containsSemiMixedTypes="0" containsString="0" containsNumber="1" containsInteger="1" minValue="5416667" maxValue="49214167"/>
    </cacheField>
    <cacheField name="Overheads Total ($)" numFmtId="0">
      <sharedItems containsSemiMixedTypes="0" containsString="0" containsNumber="1" containsInteger="1" minValue="1083333" maxValue="9842833"/>
    </cacheField>
    <cacheField name="Overheads FACSO ($)" numFmtId="0">
      <sharedItems containsSemiMixedTypes="0" containsString="0" containsNumber="1" containsInteger="1" minValue="812500" maxValue="7382125"/>
    </cacheField>
    <cacheField name="Overheads DIP ($)" numFmtId="0">
      <sharedItems containsSemiMixedTypes="0" containsString="0" containsNumber="1" containsInteger="1" minValue="81250" maxValue="738212" count="35">
        <n v="327662"/>
        <n v="194925"/>
        <n v="302100"/>
        <n v="334375"/>
        <n v="735750"/>
        <n v="460500"/>
        <n v="720388"/>
        <n v="645000"/>
        <n v="657137"/>
        <n v="225050"/>
        <n v="250500"/>
        <n v="467288"/>
        <n v="716100"/>
        <n v="732838"/>
        <n v="712575"/>
        <n v="738212"/>
        <n v="738200"/>
        <n v="532762"/>
        <n v="720550"/>
        <n v="623594"/>
        <n v="392700"/>
        <n v="156250"/>
        <n v="326000"/>
        <n v="470500"/>
        <n v="574063"/>
        <n v="613200"/>
        <n v="662387"/>
        <n v="400500"/>
        <n v="357550"/>
        <n v="679425"/>
        <n v="456100"/>
        <n v="81250"/>
        <n v="369000"/>
        <n v="84000"/>
        <n v="6887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s v="Javiera Andrea Cubillos Almendra"/>
    <x v="0"/>
    <n v="26213000"/>
    <n v="21844167"/>
    <n v="4368833"/>
    <n v="3276625"/>
    <x v="0"/>
  </r>
  <r>
    <x v="0"/>
    <x v="1"/>
    <s v="Carolina Aurora Villagra Pincheira"/>
    <x v="0"/>
    <n v="15594000"/>
    <n v="12995000"/>
    <n v="2599000"/>
    <n v="1949250"/>
    <x v="1"/>
  </r>
  <r>
    <x v="0"/>
    <x v="2"/>
    <s v="Marcela Patricia Ferrer Lues"/>
    <x v="0"/>
    <n v="24168000"/>
    <n v="20140000"/>
    <n v="4028000"/>
    <n v="3021000"/>
    <x v="2"/>
  </r>
  <r>
    <x v="0"/>
    <x v="3"/>
    <s v="Maria Soledad Ruiz Jabbaz"/>
    <x v="0"/>
    <n v="26750000"/>
    <n v="22291667"/>
    <n v="4458333"/>
    <n v="3343750"/>
    <x v="3"/>
  </r>
  <r>
    <x v="0"/>
    <x v="4"/>
    <s v="Carolina Andrea Belmar Pantelis"/>
    <x v="1"/>
    <n v="58860000"/>
    <n v="49050000"/>
    <n v="9810000"/>
    <n v="7357500"/>
    <x v="4"/>
  </r>
  <r>
    <x v="0"/>
    <x v="5"/>
    <s v="Juan Carlos Castillo Valenzuela"/>
    <x v="1"/>
    <n v="36840000"/>
    <n v="30700000"/>
    <n v="6140000"/>
    <n v="4605000"/>
    <x v="5"/>
  </r>
  <r>
    <x v="0"/>
    <x v="6"/>
    <s v="Andres Rolando Troncoso Melendez"/>
    <x v="1"/>
    <n v="57631000"/>
    <n v="48025833"/>
    <n v="9605167"/>
    <n v="7203875"/>
    <x v="6"/>
  </r>
  <r>
    <x v="0"/>
    <x v="7"/>
    <s v="Sergio Alejandro Toro Arevalo"/>
    <x v="1"/>
    <n v="51600000"/>
    <n v="43000000"/>
    <n v="8600000"/>
    <n v="6450000"/>
    <x v="7"/>
  </r>
  <r>
    <x v="0"/>
    <x v="8"/>
    <s v="Vanetza Estela Quezada Scholz"/>
    <x v="1"/>
    <n v="52571000"/>
    <n v="43809167"/>
    <n v="8761833"/>
    <n v="6571375"/>
    <x v="8"/>
  </r>
  <r>
    <x v="0"/>
    <x v="9"/>
    <s v="Nicolas Salvador Gregorio Angelcos Gutierrez"/>
    <x v="1"/>
    <n v="18004000"/>
    <n v="15003333"/>
    <n v="3000667"/>
    <n v="2250500"/>
    <x v="9"/>
  </r>
  <r>
    <x v="1"/>
    <x v="10"/>
    <s v="Marcela Eliana Betancourt Saez"/>
    <x v="0"/>
    <n v="20040000"/>
    <n v="16700000"/>
    <n v="3340000"/>
    <n v="2505000"/>
    <x v="10"/>
  </r>
  <r>
    <x v="1"/>
    <x v="11"/>
    <s v="Paulina Isabel Osorio Parraguez"/>
    <x v="1"/>
    <n v="37383000"/>
    <n v="31152500"/>
    <n v="6230500"/>
    <n v="4672875"/>
    <x v="11"/>
  </r>
  <r>
    <x v="1"/>
    <x v="12"/>
    <s v="Gianinna Ines Munoz Arce"/>
    <x v="1"/>
    <n v="57288000"/>
    <n v="47740000"/>
    <n v="9548000"/>
    <n v="7161000"/>
    <x v="12"/>
  </r>
  <r>
    <x v="1"/>
    <x v="13"/>
    <s v="Maria Emilia Tijoux Merino"/>
    <x v="1"/>
    <n v="58627000"/>
    <n v="48855833"/>
    <n v="9771167"/>
    <n v="7328375"/>
    <x v="13"/>
  </r>
  <r>
    <x v="1"/>
    <x v="14"/>
    <s v="Rodrigo Carlos Cornejo Chavez"/>
    <x v="1"/>
    <n v="57006000"/>
    <n v="47505000"/>
    <n v="9501000"/>
    <n v="7125750"/>
    <x v="14"/>
  </r>
  <r>
    <x v="1"/>
    <x v="15"/>
    <s v="Daniela Cecilia Thumala Dockendorff"/>
    <x v="1"/>
    <n v="59057000"/>
    <n v="49214167"/>
    <n v="9842833"/>
    <n v="7382125"/>
    <x v="15"/>
  </r>
  <r>
    <x v="1"/>
    <x v="16"/>
    <s v="Kornelius Florian Kupczik"/>
    <x v="1"/>
    <n v="59056000"/>
    <n v="49213333"/>
    <n v="9842667"/>
    <n v="7382000"/>
    <x v="16"/>
  </r>
  <r>
    <x v="1"/>
    <x v="17"/>
    <s v="Maria Sol Anigstein"/>
    <x v="1"/>
    <n v="42621000"/>
    <n v="35517500"/>
    <n v="7103500"/>
    <n v="5327625"/>
    <x v="17"/>
  </r>
  <r>
    <x v="1"/>
    <x v="18"/>
    <s v="Susan Valeria Sanhueza Henriquez"/>
    <x v="1"/>
    <n v="57644000"/>
    <n v="48036667"/>
    <n v="9607333"/>
    <n v="7205500"/>
    <x v="18"/>
  </r>
  <r>
    <x v="1"/>
    <x v="19"/>
    <s v="Daniel Andres Miranda Fuenzalida"/>
    <x v="1"/>
    <n v="49887500"/>
    <n v="41572917"/>
    <n v="8314583"/>
    <n v="6235937"/>
    <x v="19"/>
  </r>
  <r>
    <x v="1"/>
    <x v="20"/>
    <s v="Sofia Catalina Donoso Knaudt"/>
    <x v="1"/>
    <n v="31416000"/>
    <n v="26180000"/>
    <n v="5236000"/>
    <n v="3927000"/>
    <x v="20"/>
  </r>
  <r>
    <x v="2"/>
    <x v="21"/>
    <s v="Pablo Alonso Perez Ahumada"/>
    <x v="1"/>
    <n v="12500000"/>
    <n v="10416667"/>
    <n v="2083333"/>
    <n v="1562500"/>
    <x v="21"/>
  </r>
  <r>
    <x v="2"/>
    <x v="22"/>
    <s v="Maria Gabriela Rubilar Donoso"/>
    <x v="1"/>
    <n v="26080000"/>
    <n v="21733333"/>
    <n v="4346667"/>
    <n v="3260000"/>
    <x v="22"/>
  </r>
  <r>
    <x v="2"/>
    <x v="23"/>
    <s v="Tal Reininger Pollak"/>
    <x v="1"/>
    <n v="37640000"/>
    <n v="31366667"/>
    <n v="6273333"/>
    <n v="4705000"/>
    <x v="23"/>
  </r>
  <r>
    <x v="2"/>
    <x v="24"/>
    <s v="Fernando Andres Campos Medina"/>
    <x v="1"/>
    <n v="45925000"/>
    <n v="38270833"/>
    <n v="7654167"/>
    <n v="5740625"/>
    <x v="24"/>
  </r>
  <r>
    <x v="2"/>
    <x v="25"/>
    <s v="Anahi Veronica Josefina Urquiza Gomez"/>
    <x v="1"/>
    <n v="49056000"/>
    <n v="40880000"/>
    <n v="8176000"/>
    <n v="6132000"/>
    <x v="25"/>
  </r>
  <r>
    <x v="2"/>
    <x v="26"/>
    <s v="Loreto Evelyn Leiva Bahamondes"/>
    <x v="1"/>
    <n v="52991000"/>
    <n v="44159167"/>
    <n v="8831833"/>
    <n v="6623875"/>
    <x v="26"/>
  </r>
  <r>
    <x v="3"/>
    <x v="27"/>
    <s v="Lorena Andrea Perez Roa"/>
    <x v="1"/>
    <n v="32040000"/>
    <n v="26700000"/>
    <n v="5340000"/>
    <n v="4005000"/>
    <x v="27"/>
  </r>
  <r>
    <x v="3"/>
    <x v="28"/>
    <s v="Hillary Carroll Hiner"/>
    <x v="1"/>
    <n v="28604000"/>
    <n v="23836667"/>
    <n v="4767333"/>
    <n v="3575500"/>
    <x v="28"/>
  </r>
  <r>
    <x v="3"/>
    <x v="29"/>
    <s v="Maria Lorena Sanhueza Riquelme"/>
    <x v="1"/>
    <n v="54354000"/>
    <n v="45295000"/>
    <n v="9059000"/>
    <n v="6794250"/>
    <x v="29"/>
  </r>
  <r>
    <x v="3"/>
    <x v="30"/>
    <s v="Rodrigo Anselmo Asun Inostroza"/>
    <x v="1"/>
    <n v="36488000"/>
    <n v="30406667"/>
    <n v="6081333"/>
    <n v="4561000"/>
    <x v="30"/>
  </r>
  <r>
    <x v="3"/>
    <x v="31"/>
    <s v="Francisco Javier Araos Leiva"/>
    <x v="1"/>
    <n v="6500000"/>
    <n v="5416667"/>
    <n v="1083333"/>
    <n v="812500"/>
    <x v="31"/>
  </r>
  <r>
    <x v="3"/>
    <x v="32"/>
    <s v="Gonzalo Javier Miguez Cavieres"/>
    <x v="1"/>
    <n v="29520000"/>
    <n v="24600000"/>
    <n v="4920000"/>
    <n v="3690000"/>
    <x v="32"/>
  </r>
  <r>
    <x v="3"/>
    <x v="33"/>
    <s v="Emiliano Nicolas Gissi Barbieri"/>
    <x v="1"/>
    <n v="6720000"/>
    <n v="5600000"/>
    <n v="1120000"/>
    <n v="840000"/>
    <x v="33"/>
  </r>
  <r>
    <x v="3"/>
    <x v="34"/>
    <s v="Patricio Felipe De Souza Herreros"/>
    <x v="1"/>
    <n v="55098000"/>
    <n v="45915000"/>
    <n v="9183000"/>
    <n v="6887250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871D6-B906-4BDD-83BD-3C51E4625040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Overheads DIP ($)" fld="8" baseField="0" baseItem="0" numFmtId="42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BA1F6-F3F9-4B0D-BC11-0965B8A23302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7:K54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0873-E3B9-49F1-99BB-DD11A7F85D55}">
  <dimension ref="A3:B8"/>
  <sheetViews>
    <sheetView workbookViewId="0">
      <selection activeCell="C8" sqref="C8"/>
    </sheetView>
  </sheetViews>
  <sheetFormatPr baseColWidth="10" defaultRowHeight="15" x14ac:dyDescent="0.25"/>
  <cols>
    <col min="1" max="1" width="17.5703125" bestFit="1" customWidth="1"/>
    <col min="2" max="2" width="25.140625" bestFit="1" customWidth="1"/>
  </cols>
  <sheetData>
    <row r="3" spans="1:2" x14ac:dyDescent="0.25">
      <c r="A3" s="11" t="s">
        <v>46</v>
      </c>
      <c r="B3" t="s">
        <v>48</v>
      </c>
    </row>
    <row r="4" spans="1:2" x14ac:dyDescent="0.25">
      <c r="A4" s="12">
        <v>2022</v>
      </c>
      <c r="B4" s="13">
        <v>3116550</v>
      </c>
    </row>
    <row r="5" spans="1:2" x14ac:dyDescent="0.25">
      <c r="A5" s="12">
        <v>2023</v>
      </c>
      <c r="B5" s="13">
        <v>2802400</v>
      </c>
    </row>
    <row r="6" spans="1:2" x14ac:dyDescent="0.25">
      <c r="A6" s="12">
        <v>2024</v>
      </c>
      <c r="B6" s="13">
        <v>6625319</v>
      </c>
    </row>
    <row r="7" spans="1:2" x14ac:dyDescent="0.25">
      <c r="A7" s="12">
        <v>2025</v>
      </c>
      <c r="B7" s="13">
        <v>4602887</v>
      </c>
    </row>
    <row r="8" spans="1:2" x14ac:dyDescent="0.25">
      <c r="A8" s="12" t="s">
        <v>47</v>
      </c>
      <c r="B8" s="13">
        <v>17147156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B1" workbookViewId="0">
      <selection activeCell="I17" sqref="I17"/>
    </sheetView>
  </sheetViews>
  <sheetFormatPr baseColWidth="10" defaultColWidth="9.140625" defaultRowHeight="15" x14ac:dyDescent="0.25"/>
  <cols>
    <col min="1" max="1" width="12.85546875" bestFit="1" customWidth="1"/>
    <col min="2" max="2" width="9" bestFit="1" customWidth="1"/>
    <col min="3" max="3" width="41.42578125" bestFit="1" customWidth="1"/>
    <col min="4" max="4" width="24.5703125" bestFit="1" customWidth="1"/>
    <col min="5" max="5" width="18" bestFit="1" customWidth="1"/>
    <col min="6" max="6" width="21.7109375" bestFit="1" customWidth="1"/>
    <col min="7" max="7" width="18.42578125" bestFit="1" customWidth="1"/>
    <col min="8" max="8" width="19.85546875" bestFit="1" customWidth="1"/>
    <col min="9" max="9" width="17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2025</v>
      </c>
      <c r="B2">
        <v>11251033</v>
      </c>
      <c r="C2" t="s">
        <v>9</v>
      </c>
      <c r="D2" t="s">
        <v>10</v>
      </c>
      <c r="E2" s="14">
        <v>26213000</v>
      </c>
      <c r="F2" s="14">
        <v>21844167</v>
      </c>
      <c r="G2" s="14">
        <v>4368833</v>
      </c>
      <c r="H2" s="14">
        <v>3276625</v>
      </c>
      <c r="I2" s="14">
        <v>327662</v>
      </c>
    </row>
    <row r="3" spans="1:9" x14ac:dyDescent="0.25">
      <c r="A3">
        <v>2025</v>
      </c>
      <c r="B3">
        <v>11251819</v>
      </c>
      <c r="C3" t="s">
        <v>11</v>
      </c>
      <c r="D3" t="s">
        <v>10</v>
      </c>
      <c r="E3" s="14">
        <v>15594000</v>
      </c>
      <c r="F3" s="14">
        <v>12995000</v>
      </c>
      <c r="G3" s="14">
        <v>2599000</v>
      </c>
      <c r="H3" s="14">
        <v>1949250</v>
      </c>
      <c r="I3" s="14">
        <v>194925</v>
      </c>
    </row>
    <row r="4" spans="1:9" x14ac:dyDescent="0.25">
      <c r="A4">
        <v>2025</v>
      </c>
      <c r="B4">
        <v>11251909</v>
      </c>
      <c r="C4" t="s">
        <v>12</v>
      </c>
      <c r="D4" t="s">
        <v>10</v>
      </c>
      <c r="E4" s="14">
        <v>24168000</v>
      </c>
      <c r="F4" s="14">
        <v>20140000</v>
      </c>
      <c r="G4" s="14">
        <v>4028000</v>
      </c>
      <c r="H4" s="14">
        <v>3021000</v>
      </c>
      <c r="I4" s="14">
        <v>302100</v>
      </c>
    </row>
    <row r="5" spans="1:9" x14ac:dyDescent="0.25">
      <c r="A5">
        <v>2025</v>
      </c>
      <c r="B5">
        <v>11251924</v>
      </c>
      <c r="C5" t="s">
        <v>13</v>
      </c>
      <c r="D5" t="s">
        <v>10</v>
      </c>
      <c r="E5" s="14">
        <v>26750000</v>
      </c>
      <c r="F5" s="14">
        <v>22291667</v>
      </c>
      <c r="G5" s="14">
        <v>4458333</v>
      </c>
      <c r="H5" s="14">
        <v>3343750</v>
      </c>
      <c r="I5" s="14">
        <v>334375</v>
      </c>
    </row>
    <row r="6" spans="1:9" x14ac:dyDescent="0.25">
      <c r="A6">
        <v>2025</v>
      </c>
      <c r="B6">
        <v>1250185</v>
      </c>
      <c r="C6" t="s">
        <v>14</v>
      </c>
      <c r="D6" t="s">
        <v>15</v>
      </c>
      <c r="E6" s="14">
        <v>58860000</v>
      </c>
      <c r="F6" s="14">
        <v>49050000</v>
      </c>
      <c r="G6" s="14">
        <v>9810000</v>
      </c>
      <c r="H6" s="14">
        <v>7357500</v>
      </c>
      <c r="I6" s="14">
        <v>735750</v>
      </c>
    </row>
    <row r="7" spans="1:9" x14ac:dyDescent="0.25">
      <c r="A7">
        <v>2025</v>
      </c>
      <c r="B7">
        <v>1250518</v>
      </c>
      <c r="C7" t="s">
        <v>16</v>
      </c>
      <c r="D7" t="s">
        <v>15</v>
      </c>
      <c r="E7" s="14">
        <v>36840000</v>
      </c>
      <c r="F7" s="14">
        <v>30700000</v>
      </c>
      <c r="G7" s="14">
        <v>6140000</v>
      </c>
      <c r="H7" s="14">
        <v>4605000</v>
      </c>
      <c r="I7" s="14">
        <v>460500</v>
      </c>
    </row>
    <row r="8" spans="1:9" x14ac:dyDescent="0.25">
      <c r="A8">
        <v>2025</v>
      </c>
      <c r="B8">
        <v>1251233</v>
      </c>
      <c r="C8" t="s">
        <v>17</v>
      </c>
      <c r="D8" t="s">
        <v>15</v>
      </c>
      <c r="E8" s="14">
        <v>57631000</v>
      </c>
      <c r="F8" s="14">
        <v>48025833</v>
      </c>
      <c r="G8" s="14">
        <v>9605167</v>
      </c>
      <c r="H8" s="14">
        <v>7203875</v>
      </c>
      <c r="I8" s="14">
        <v>720388</v>
      </c>
    </row>
    <row r="9" spans="1:9" x14ac:dyDescent="0.25">
      <c r="A9">
        <v>2025</v>
      </c>
      <c r="B9">
        <v>1251297</v>
      </c>
      <c r="C9" t="s">
        <v>18</v>
      </c>
      <c r="D9" t="s">
        <v>15</v>
      </c>
      <c r="E9" s="14">
        <v>51600000</v>
      </c>
      <c r="F9" s="14">
        <v>43000000</v>
      </c>
      <c r="G9" s="14">
        <v>8600000</v>
      </c>
      <c r="H9" s="14">
        <v>6450000</v>
      </c>
      <c r="I9" s="14">
        <v>645000</v>
      </c>
    </row>
    <row r="10" spans="1:9" x14ac:dyDescent="0.25">
      <c r="A10">
        <v>2025</v>
      </c>
      <c r="B10">
        <v>1251388</v>
      </c>
      <c r="C10" t="s">
        <v>19</v>
      </c>
      <c r="D10" t="s">
        <v>15</v>
      </c>
      <c r="E10" s="14">
        <v>52571000</v>
      </c>
      <c r="F10" s="14">
        <v>43809167</v>
      </c>
      <c r="G10" s="14">
        <v>8761833</v>
      </c>
      <c r="H10" s="14">
        <v>6571375</v>
      </c>
      <c r="I10" s="14">
        <v>657137</v>
      </c>
    </row>
    <row r="11" spans="1:9" x14ac:dyDescent="0.25">
      <c r="A11">
        <v>2025</v>
      </c>
      <c r="B11">
        <v>1251621</v>
      </c>
      <c r="C11" t="s">
        <v>20</v>
      </c>
      <c r="D11" t="s">
        <v>15</v>
      </c>
      <c r="E11" s="14">
        <v>18004000</v>
      </c>
      <c r="F11" s="14">
        <v>15003333</v>
      </c>
      <c r="G11" s="14">
        <v>3000667</v>
      </c>
      <c r="H11" s="14">
        <v>2250500</v>
      </c>
      <c r="I11" s="14">
        <v>225050</v>
      </c>
    </row>
    <row r="12" spans="1:9" x14ac:dyDescent="0.25">
      <c r="A12">
        <v>2024</v>
      </c>
      <c r="B12">
        <v>11240671</v>
      </c>
      <c r="C12" t="s">
        <v>21</v>
      </c>
      <c r="D12" t="s">
        <v>10</v>
      </c>
      <c r="E12" s="14">
        <v>20040000</v>
      </c>
      <c r="F12" s="14">
        <v>16700000</v>
      </c>
      <c r="G12" s="14">
        <v>3340000</v>
      </c>
      <c r="H12" s="14">
        <v>2505000</v>
      </c>
      <c r="I12" s="14">
        <v>250500</v>
      </c>
    </row>
    <row r="13" spans="1:9" x14ac:dyDescent="0.25">
      <c r="A13">
        <v>2024</v>
      </c>
      <c r="B13">
        <v>1240079</v>
      </c>
      <c r="C13" t="s">
        <v>22</v>
      </c>
      <c r="D13" t="s">
        <v>15</v>
      </c>
      <c r="E13" s="14">
        <v>37383000</v>
      </c>
      <c r="F13" s="14">
        <v>31152500</v>
      </c>
      <c r="G13" s="14">
        <v>6230500</v>
      </c>
      <c r="H13" s="14">
        <v>4672875</v>
      </c>
      <c r="I13" s="14">
        <v>467288</v>
      </c>
    </row>
    <row r="14" spans="1:9" x14ac:dyDescent="0.25">
      <c r="A14">
        <v>2024</v>
      </c>
      <c r="B14">
        <v>1240100</v>
      </c>
      <c r="C14" t="s">
        <v>23</v>
      </c>
      <c r="D14" t="s">
        <v>15</v>
      </c>
      <c r="E14" s="14">
        <v>57288000</v>
      </c>
      <c r="F14" s="14">
        <v>47740000</v>
      </c>
      <c r="G14" s="14">
        <v>9548000</v>
      </c>
      <c r="H14" s="14">
        <v>7161000</v>
      </c>
      <c r="I14" s="14">
        <v>716100</v>
      </c>
    </row>
    <row r="15" spans="1:9" x14ac:dyDescent="0.25">
      <c r="A15">
        <v>2024</v>
      </c>
      <c r="B15">
        <v>1240125</v>
      </c>
      <c r="C15" t="s">
        <v>24</v>
      </c>
      <c r="D15" t="s">
        <v>15</v>
      </c>
      <c r="E15" s="14">
        <v>58627000</v>
      </c>
      <c r="F15" s="14">
        <v>48855833</v>
      </c>
      <c r="G15" s="14">
        <v>9771167</v>
      </c>
      <c r="H15" s="14">
        <v>7328375</v>
      </c>
      <c r="I15" s="14">
        <v>732838</v>
      </c>
    </row>
    <row r="16" spans="1:9" x14ac:dyDescent="0.25">
      <c r="A16">
        <v>2024</v>
      </c>
      <c r="B16">
        <v>1240155</v>
      </c>
      <c r="C16" t="s">
        <v>25</v>
      </c>
      <c r="D16" t="s">
        <v>15</v>
      </c>
      <c r="E16" s="14">
        <v>57006000</v>
      </c>
      <c r="F16" s="14">
        <v>47505000</v>
      </c>
      <c r="G16" s="14">
        <v>9501000</v>
      </c>
      <c r="H16" s="14">
        <v>7125750</v>
      </c>
      <c r="I16" s="14">
        <v>712575</v>
      </c>
    </row>
    <row r="17" spans="1:9" x14ac:dyDescent="0.25">
      <c r="A17">
        <v>2024</v>
      </c>
      <c r="B17">
        <v>1240683</v>
      </c>
      <c r="C17" t="s">
        <v>26</v>
      </c>
      <c r="D17" t="s">
        <v>15</v>
      </c>
      <c r="E17" s="14">
        <v>59057000</v>
      </c>
      <c r="F17" s="14">
        <v>49214167</v>
      </c>
      <c r="G17" s="14">
        <v>9842833</v>
      </c>
      <c r="H17" s="14">
        <v>7382125</v>
      </c>
      <c r="I17" s="14">
        <v>738212</v>
      </c>
    </row>
    <row r="18" spans="1:9" x14ac:dyDescent="0.25">
      <c r="A18">
        <v>2024</v>
      </c>
      <c r="B18">
        <v>1240805</v>
      </c>
      <c r="C18" t="s">
        <v>27</v>
      </c>
      <c r="D18" t="s">
        <v>15</v>
      </c>
      <c r="E18" s="14">
        <v>59056000</v>
      </c>
      <c r="F18" s="14">
        <v>49213333</v>
      </c>
      <c r="G18" s="14">
        <v>9842667</v>
      </c>
      <c r="H18" s="14">
        <v>7382000</v>
      </c>
      <c r="I18" s="14">
        <v>738200</v>
      </c>
    </row>
    <row r="19" spans="1:9" x14ac:dyDescent="0.25">
      <c r="A19">
        <v>2024</v>
      </c>
      <c r="B19">
        <v>1240840</v>
      </c>
      <c r="C19" t="s">
        <v>28</v>
      </c>
      <c r="D19" t="s">
        <v>15</v>
      </c>
      <c r="E19" s="14">
        <v>42621000</v>
      </c>
      <c r="F19" s="14">
        <v>35517500</v>
      </c>
      <c r="G19" s="14">
        <v>7103500</v>
      </c>
      <c r="H19" s="14">
        <v>5327625</v>
      </c>
      <c r="I19" s="14">
        <v>532762</v>
      </c>
    </row>
    <row r="20" spans="1:9" x14ac:dyDescent="0.25">
      <c r="A20">
        <v>2024</v>
      </c>
      <c r="B20">
        <v>1240863</v>
      </c>
      <c r="C20" t="s">
        <v>29</v>
      </c>
      <c r="D20" t="s">
        <v>15</v>
      </c>
      <c r="E20" s="14">
        <v>57644000</v>
      </c>
      <c r="F20" s="14">
        <v>48036667</v>
      </c>
      <c r="G20" s="14">
        <v>9607333</v>
      </c>
      <c r="H20" s="14">
        <v>7205500</v>
      </c>
      <c r="I20" s="14">
        <v>720550</v>
      </c>
    </row>
    <row r="21" spans="1:9" x14ac:dyDescent="0.25">
      <c r="A21">
        <v>2024</v>
      </c>
      <c r="B21">
        <v>1240922</v>
      </c>
      <c r="C21" t="s">
        <v>30</v>
      </c>
      <c r="D21" t="s">
        <v>15</v>
      </c>
      <c r="E21" s="14">
        <v>49887500</v>
      </c>
      <c r="F21" s="14">
        <v>41572917</v>
      </c>
      <c r="G21" s="14">
        <v>8314583</v>
      </c>
      <c r="H21" s="14">
        <v>6235937</v>
      </c>
      <c r="I21" s="14">
        <v>623594</v>
      </c>
    </row>
    <row r="22" spans="1:9" x14ac:dyDescent="0.25">
      <c r="A22">
        <v>2024</v>
      </c>
      <c r="B22">
        <v>1240960</v>
      </c>
      <c r="C22" t="s">
        <v>31</v>
      </c>
      <c r="D22" t="s">
        <v>15</v>
      </c>
      <c r="E22" s="14">
        <v>31416000</v>
      </c>
      <c r="F22" s="14">
        <v>26180000</v>
      </c>
      <c r="G22" s="14">
        <v>5236000</v>
      </c>
      <c r="H22" s="14">
        <v>3927000</v>
      </c>
      <c r="I22" s="14">
        <v>392700</v>
      </c>
    </row>
    <row r="23" spans="1:9" x14ac:dyDescent="0.25">
      <c r="A23">
        <v>2023</v>
      </c>
      <c r="B23">
        <v>1230056</v>
      </c>
      <c r="C23" t="s">
        <v>32</v>
      </c>
      <c r="D23" t="s">
        <v>15</v>
      </c>
      <c r="E23" s="14">
        <v>12500000</v>
      </c>
      <c r="F23" s="14">
        <v>10416667</v>
      </c>
      <c r="G23" s="14">
        <v>2083333</v>
      </c>
      <c r="H23" s="14">
        <v>1562500</v>
      </c>
      <c r="I23" s="14">
        <v>156250</v>
      </c>
    </row>
    <row r="24" spans="1:9" x14ac:dyDescent="0.25">
      <c r="A24">
        <v>2023</v>
      </c>
      <c r="B24">
        <v>1230605</v>
      </c>
      <c r="C24" t="s">
        <v>33</v>
      </c>
      <c r="D24" t="s">
        <v>15</v>
      </c>
      <c r="E24" s="14">
        <v>26080000</v>
      </c>
      <c r="F24" s="14">
        <v>21733333</v>
      </c>
      <c r="G24" s="14">
        <v>4346667</v>
      </c>
      <c r="H24" s="14">
        <v>3260000</v>
      </c>
      <c r="I24" s="14">
        <v>326000</v>
      </c>
    </row>
    <row r="25" spans="1:9" x14ac:dyDescent="0.25">
      <c r="A25">
        <v>2023</v>
      </c>
      <c r="B25">
        <v>1230925</v>
      </c>
      <c r="C25" t="s">
        <v>34</v>
      </c>
      <c r="D25" t="s">
        <v>15</v>
      </c>
      <c r="E25" s="14">
        <v>37640000</v>
      </c>
      <c r="F25" s="14">
        <v>31366667</v>
      </c>
      <c r="G25" s="14">
        <v>6273333</v>
      </c>
      <c r="H25" s="14">
        <v>4705000</v>
      </c>
      <c r="I25" s="14">
        <v>470500</v>
      </c>
    </row>
    <row r="26" spans="1:9" x14ac:dyDescent="0.25">
      <c r="A26">
        <v>2023</v>
      </c>
      <c r="B26">
        <v>1231353</v>
      </c>
      <c r="C26" t="s">
        <v>35</v>
      </c>
      <c r="D26" t="s">
        <v>15</v>
      </c>
      <c r="E26" s="14">
        <v>45925000</v>
      </c>
      <c r="F26" s="14">
        <v>38270833</v>
      </c>
      <c r="G26" s="14">
        <v>7654167</v>
      </c>
      <c r="H26" s="14">
        <v>5740625</v>
      </c>
      <c r="I26" s="14">
        <v>574063</v>
      </c>
    </row>
    <row r="27" spans="1:9" x14ac:dyDescent="0.25">
      <c r="A27">
        <v>2023</v>
      </c>
      <c r="B27">
        <v>1231404</v>
      </c>
      <c r="C27" t="s">
        <v>36</v>
      </c>
      <c r="D27" t="s">
        <v>15</v>
      </c>
      <c r="E27" s="14">
        <v>49056000</v>
      </c>
      <c r="F27" s="14">
        <v>40880000</v>
      </c>
      <c r="G27" s="14">
        <v>8176000</v>
      </c>
      <c r="H27" s="14">
        <v>6132000</v>
      </c>
      <c r="I27" s="14">
        <v>613200</v>
      </c>
    </row>
    <row r="28" spans="1:9" x14ac:dyDescent="0.25">
      <c r="A28">
        <v>2023</v>
      </c>
      <c r="B28">
        <v>1231506</v>
      </c>
      <c r="C28" t="s">
        <v>37</v>
      </c>
      <c r="D28" t="s">
        <v>15</v>
      </c>
      <c r="E28" s="14">
        <v>52991000</v>
      </c>
      <c r="F28" s="14">
        <v>44159167</v>
      </c>
      <c r="G28" s="14">
        <v>8831833</v>
      </c>
      <c r="H28" s="14">
        <v>6623875</v>
      </c>
      <c r="I28" s="14">
        <v>662387</v>
      </c>
    </row>
    <row r="29" spans="1:9" x14ac:dyDescent="0.25">
      <c r="A29">
        <v>2022</v>
      </c>
      <c r="B29">
        <v>1220039</v>
      </c>
      <c r="C29" t="s">
        <v>38</v>
      </c>
      <c r="D29" t="s">
        <v>15</v>
      </c>
      <c r="E29" s="14">
        <v>32040000</v>
      </c>
      <c r="F29" s="14">
        <v>26700000</v>
      </c>
      <c r="G29" s="14">
        <v>5340000</v>
      </c>
      <c r="H29" s="14">
        <v>4005000</v>
      </c>
      <c r="I29" s="14">
        <v>400500</v>
      </c>
    </row>
    <row r="30" spans="1:9" x14ac:dyDescent="0.25">
      <c r="A30">
        <v>2022</v>
      </c>
      <c r="B30">
        <v>1220139</v>
      </c>
      <c r="C30" t="s">
        <v>39</v>
      </c>
      <c r="D30" t="s">
        <v>15</v>
      </c>
      <c r="E30" s="14">
        <v>28604000</v>
      </c>
      <c r="F30" s="14">
        <v>23836667</v>
      </c>
      <c r="G30" s="14">
        <v>4767333</v>
      </c>
      <c r="H30" s="14">
        <v>3575500</v>
      </c>
      <c r="I30" s="14">
        <v>357550</v>
      </c>
    </row>
    <row r="31" spans="1:9" x14ac:dyDescent="0.25">
      <c r="A31">
        <v>2022</v>
      </c>
      <c r="B31">
        <v>1220203</v>
      </c>
      <c r="C31" t="s">
        <v>40</v>
      </c>
      <c r="D31" t="s">
        <v>15</v>
      </c>
      <c r="E31" s="14">
        <v>54354000</v>
      </c>
      <c r="F31" s="14">
        <v>45295000</v>
      </c>
      <c r="G31" s="14">
        <v>9059000</v>
      </c>
      <c r="H31" s="14">
        <v>6794250</v>
      </c>
      <c r="I31" s="14">
        <v>679425</v>
      </c>
    </row>
    <row r="32" spans="1:9" x14ac:dyDescent="0.25">
      <c r="A32">
        <v>2022</v>
      </c>
      <c r="B32">
        <v>1220385</v>
      </c>
      <c r="C32" t="s">
        <v>41</v>
      </c>
      <c r="D32" t="s">
        <v>15</v>
      </c>
      <c r="E32" s="14">
        <v>36488000</v>
      </c>
      <c r="F32" s="14">
        <v>30406667</v>
      </c>
      <c r="G32" s="14">
        <v>6081333</v>
      </c>
      <c r="H32" s="14">
        <v>4561000</v>
      </c>
      <c r="I32" s="14">
        <v>456100</v>
      </c>
    </row>
    <row r="33" spans="1:11" x14ac:dyDescent="0.25">
      <c r="A33">
        <v>2022</v>
      </c>
      <c r="B33">
        <v>1220430</v>
      </c>
      <c r="C33" t="s">
        <v>42</v>
      </c>
      <c r="D33" t="s">
        <v>15</v>
      </c>
      <c r="E33" s="14">
        <v>6500000</v>
      </c>
      <c r="F33" s="14">
        <v>5416667</v>
      </c>
      <c r="G33" s="14">
        <v>1083333</v>
      </c>
      <c r="H33" s="14">
        <v>812500</v>
      </c>
      <c r="I33" s="14">
        <v>81250</v>
      </c>
    </row>
    <row r="34" spans="1:11" x14ac:dyDescent="0.25">
      <c r="A34">
        <v>2022</v>
      </c>
      <c r="B34">
        <v>1220797</v>
      </c>
      <c r="C34" t="s">
        <v>43</v>
      </c>
      <c r="D34" t="s">
        <v>15</v>
      </c>
      <c r="E34" s="14">
        <v>29520000</v>
      </c>
      <c r="F34" s="14">
        <v>24600000</v>
      </c>
      <c r="G34" s="14">
        <v>4920000</v>
      </c>
      <c r="H34" s="14">
        <v>3690000</v>
      </c>
      <c r="I34" s="14">
        <v>369000</v>
      </c>
    </row>
    <row r="35" spans="1:11" x14ac:dyDescent="0.25">
      <c r="A35">
        <v>2022</v>
      </c>
      <c r="B35">
        <v>1220993</v>
      </c>
      <c r="C35" t="s">
        <v>44</v>
      </c>
      <c r="D35" t="s">
        <v>15</v>
      </c>
      <c r="E35" s="14">
        <v>6720000</v>
      </c>
      <c r="F35" s="14">
        <v>5600000</v>
      </c>
      <c r="G35" s="14">
        <v>1120000</v>
      </c>
      <c r="H35" s="14">
        <v>840000</v>
      </c>
      <c r="I35" s="14">
        <v>84000</v>
      </c>
    </row>
    <row r="36" spans="1:11" x14ac:dyDescent="0.25">
      <c r="A36">
        <v>2022</v>
      </c>
      <c r="B36">
        <v>1221106</v>
      </c>
      <c r="C36" t="s">
        <v>45</v>
      </c>
      <c r="D36" t="s">
        <v>15</v>
      </c>
      <c r="E36" s="14">
        <v>55098000</v>
      </c>
      <c r="F36" s="14">
        <v>45915000</v>
      </c>
      <c r="G36" s="14">
        <v>9183000</v>
      </c>
      <c r="H36" s="14">
        <v>6887250</v>
      </c>
      <c r="I36" s="14">
        <v>688725</v>
      </c>
    </row>
    <row r="37" spans="1:11" x14ac:dyDescent="0.25">
      <c r="I37" s="2"/>
      <c r="J37" s="3"/>
      <c r="K37" s="4"/>
    </row>
    <row r="38" spans="1:11" x14ac:dyDescent="0.25">
      <c r="I38" s="5"/>
      <c r="J38" s="6"/>
      <c r="K38" s="7"/>
    </row>
    <row r="39" spans="1:11" x14ac:dyDescent="0.25">
      <c r="I39" s="5"/>
      <c r="J39" s="6"/>
      <c r="K39" s="7"/>
    </row>
    <row r="40" spans="1:11" x14ac:dyDescent="0.25">
      <c r="I40" s="5"/>
      <c r="J40" s="6"/>
      <c r="K40" s="7"/>
    </row>
    <row r="41" spans="1:11" x14ac:dyDescent="0.25">
      <c r="I41" s="5"/>
      <c r="J41" s="6"/>
      <c r="K41" s="7"/>
    </row>
    <row r="42" spans="1:11" x14ac:dyDescent="0.25">
      <c r="I42" s="5"/>
      <c r="J42" s="6"/>
      <c r="K42" s="7"/>
    </row>
    <row r="43" spans="1:11" x14ac:dyDescent="0.25">
      <c r="I43" s="5"/>
      <c r="J43" s="6"/>
      <c r="K43" s="7"/>
    </row>
    <row r="44" spans="1:11" x14ac:dyDescent="0.25">
      <c r="I44" s="5"/>
      <c r="J44" s="6"/>
      <c r="K44" s="7"/>
    </row>
    <row r="45" spans="1:11" x14ac:dyDescent="0.25">
      <c r="I45" s="5"/>
      <c r="J45" s="6"/>
      <c r="K45" s="7"/>
    </row>
    <row r="46" spans="1:11" x14ac:dyDescent="0.25">
      <c r="I46" s="5"/>
      <c r="J46" s="6"/>
      <c r="K46" s="7"/>
    </row>
    <row r="47" spans="1:11" x14ac:dyDescent="0.25">
      <c r="I47" s="5"/>
      <c r="J47" s="6"/>
      <c r="K47" s="7"/>
    </row>
    <row r="48" spans="1:11" x14ac:dyDescent="0.25">
      <c r="I48" s="5"/>
      <c r="J48" s="6"/>
      <c r="K48" s="7"/>
    </row>
    <row r="49" spans="9:11" x14ac:dyDescent="0.25">
      <c r="I49" s="5"/>
      <c r="J49" s="6"/>
      <c r="K49" s="7"/>
    </row>
    <row r="50" spans="9:11" x14ac:dyDescent="0.25">
      <c r="I50" s="5"/>
      <c r="J50" s="6"/>
      <c r="K50" s="7"/>
    </row>
    <row r="51" spans="9:11" x14ac:dyDescent="0.25">
      <c r="I51" s="5"/>
      <c r="J51" s="6"/>
      <c r="K51" s="7"/>
    </row>
    <row r="52" spans="9:11" x14ac:dyDescent="0.25">
      <c r="I52" s="5"/>
      <c r="J52" s="6"/>
      <c r="K52" s="7"/>
    </row>
    <row r="53" spans="9:11" x14ac:dyDescent="0.25">
      <c r="I53" s="5"/>
      <c r="J53" s="6"/>
      <c r="K53" s="7"/>
    </row>
    <row r="54" spans="9:11" x14ac:dyDescent="0.25">
      <c r="I54" s="8"/>
      <c r="J54" s="9"/>
      <c r="K5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Nicolas Cortes Paredes (gabriel.cortes)</cp:lastModifiedBy>
  <dcterms:created xsi:type="dcterms:W3CDTF">2026-04-28T14:21:42Z</dcterms:created>
  <dcterms:modified xsi:type="dcterms:W3CDTF">2026-04-28T15:05:05Z</dcterms:modified>
</cp:coreProperties>
</file>