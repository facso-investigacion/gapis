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GitHub\DIP\gapis\"/>
    </mc:Choice>
  </mc:AlternateContent>
  <xr:revisionPtr revIDLastSave="0" documentId="13_ncr:1_{F3BE632D-2252-4D84-80FC-0F897561CDBE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H10" i="1"/>
  <c r="I10" i="1"/>
  <c r="J10" i="1"/>
  <c r="F10" i="1"/>
</calcChain>
</file>

<file path=xl/sharedStrings.xml><?xml version="1.0" encoding="utf-8"?>
<sst xmlns="http://schemas.openxmlformats.org/spreadsheetml/2006/main" count="42" uniqueCount="32">
  <si>
    <t>Año concurso</t>
  </si>
  <si>
    <t>Código</t>
  </si>
  <si>
    <t>IR</t>
  </si>
  <si>
    <t>Departamento IR</t>
  </si>
  <si>
    <t>Instrumento</t>
  </si>
  <si>
    <t>Ppto anual total ($)</t>
  </si>
  <si>
    <t>Ppto solicitado 2026 ($)</t>
  </si>
  <si>
    <t>Overheads Total ($)</t>
  </si>
  <si>
    <t>Overheads FACSO ($)</t>
  </si>
  <si>
    <t>Overheads DIP ($)</t>
  </si>
  <si>
    <t>11240192</t>
  </si>
  <si>
    <t>Jorge Cabaluz</t>
  </si>
  <si>
    <t>Educación</t>
  </si>
  <si>
    <t>Iniciación en Investigación</t>
  </si>
  <si>
    <t>11240611</t>
  </si>
  <si>
    <t>Omar Aguilar</t>
  </si>
  <si>
    <t>Sociología</t>
  </si>
  <si>
    <t>1231651</t>
  </si>
  <si>
    <t>Mauricio Esteban Salgado Oyarce</t>
  </si>
  <si>
    <t>Fondecyt Regular</t>
  </si>
  <si>
    <t>1240606</t>
  </si>
  <si>
    <t>Camila Patricia Moyano Davila</t>
  </si>
  <si>
    <t>1240922</t>
  </si>
  <si>
    <t>Daniel Miranda</t>
  </si>
  <si>
    <t>Psicología</t>
  </si>
  <si>
    <t>1250444</t>
  </si>
  <si>
    <t>Carla Maria Pinochet Cobos</t>
  </si>
  <si>
    <t>Antropología</t>
  </si>
  <si>
    <t>1250603</t>
  </si>
  <si>
    <t>Daniel Enrique Chernilo Steiner</t>
  </si>
  <si>
    <t>1251916</t>
  </si>
  <si>
    <t>Carolina Elizabeth Ramirez Cabrera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</si>
</sst>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2" fontId="0" fillId="0" borderId="0" xfId="1" applyFont="1"/>
    <xf numFmtId="42" fontId="0" fillId="0" borderId="0" xfId="0" applyNumberFormat="1"/>
  </cellXfs>
  <cellStyles count="2">
    <cellStyle name="Moneda [0]" xfId="1" builtinId="7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F9351C-4DE6-4178-890B-3633D437E23B}" name="Tabla1" displayName="Tabla1" ref="A1:J10" totalsRowShown="0" headerRowDxfId="0" dataDxfId="1" dataCellStyle="Moneda [0]">
  <autoFilter ref="A1:J10" xr:uid="{14F9351C-4DE6-4178-890B-3633D437E23B}"/>
  <tableColumns count="10">
    <tableColumn id="1" xr3:uid="{917AA4FA-B4D9-4F80-8D83-937C3D9C9F2C}" name="Año concurso"/>
    <tableColumn id="2" xr3:uid="{E0AB57DC-A5FA-4103-B219-54450E7469B8}" name="Código"/>
    <tableColumn id="3" xr3:uid="{A55ADAF6-64DE-4DE5-AB51-F3155EE8329A}" name="IR"/>
    <tableColumn id="4" xr3:uid="{08A0AFC6-C415-49F9-8D63-90FD2C88B772}" name="Departamento IR"/>
    <tableColumn id="5" xr3:uid="{A5A832C4-2445-424A-B937-2BA19E40D118}" name="Instrumento"/>
    <tableColumn id="6" xr3:uid="{3417E94D-E6E7-4B8C-8F72-F43B16231369}" name="Ppto anual total ($)" dataDxfId="6" dataCellStyle="Moneda [0]"/>
    <tableColumn id="7" xr3:uid="{D1C69621-B4CB-416E-8B9E-96B36625E290}" name="Ppto solicitado 2026 ($)" dataDxfId="5" dataCellStyle="Moneda [0]"/>
    <tableColumn id="8" xr3:uid="{F6371D35-ED4F-4F49-8060-AE48247C696F}" name="Overheads Total ($)" dataDxfId="4" dataCellStyle="Moneda [0]"/>
    <tableColumn id="9" xr3:uid="{68EC7522-22B5-4E22-B22B-58F7753F449A}" name="Overheads FACSO ($)" dataDxfId="3" dataCellStyle="Moneda [0]"/>
    <tableColumn id="10" xr3:uid="{0992C216-F59C-4081-AA1C-4633AA61F4D3}" name="Overheads DIP ($)" dataDxfId="2" dataCellStyle="Moneda [0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J10" sqref="A1:J10"/>
    </sheetView>
  </sheetViews>
  <sheetFormatPr baseColWidth="10" defaultColWidth="9.140625" defaultRowHeight="15" x14ac:dyDescent="0.25"/>
  <cols>
    <col min="1" max="1" width="15" customWidth="1"/>
    <col min="2" max="2" width="9.28515625" customWidth="1"/>
    <col min="3" max="3" width="32.28515625" bestFit="1" customWidth="1"/>
    <col min="4" max="4" width="18.140625" customWidth="1"/>
    <col min="5" max="5" width="24.5703125" bestFit="1" customWidth="1"/>
    <col min="6" max="6" width="20" customWidth="1"/>
    <col min="7" max="7" width="23.5703125" customWidth="1"/>
    <col min="8" max="8" width="20.42578125" customWidth="1"/>
    <col min="9" max="9" width="21.85546875" customWidth="1"/>
    <col min="10" max="10" width="19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2024</v>
      </c>
      <c r="B2" t="s">
        <v>10</v>
      </c>
      <c r="C2" t="s">
        <v>11</v>
      </c>
      <c r="D2" t="s">
        <v>12</v>
      </c>
      <c r="E2" t="s">
        <v>13</v>
      </c>
      <c r="F2" s="2">
        <v>24720000</v>
      </c>
      <c r="G2" s="2">
        <v>14350000</v>
      </c>
      <c r="H2" s="2">
        <v>2870000</v>
      </c>
      <c r="I2" s="2">
        <v>2152500</v>
      </c>
      <c r="J2" s="2">
        <v>215250</v>
      </c>
    </row>
    <row r="3" spans="1:10" x14ac:dyDescent="0.25">
      <c r="A3">
        <v>2024</v>
      </c>
      <c r="B3" t="s">
        <v>14</v>
      </c>
      <c r="C3" t="s">
        <v>15</v>
      </c>
      <c r="D3" t="s">
        <v>16</v>
      </c>
      <c r="E3" t="s">
        <v>13</v>
      </c>
      <c r="F3" s="2">
        <v>31686000</v>
      </c>
      <c r="G3" s="2">
        <v>20155000</v>
      </c>
      <c r="H3" s="2">
        <v>4031000</v>
      </c>
      <c r="I3" s="2">
        <v>3023250</v>
      </c>
      <c r="J3" s="2">
        <v>302325</v>
      </c>
    </row>
    <row r="4" spans="1:10" x14ac:dyDescent="0.25">
      <c r="A4">
        <v>2023</v>
      </c>
      <c r="B4" t="s">
        <v>17</v>
      </c>
      <c r="C4" t="s">
        <v>18</v>
      </c>
      <c r="D4" t="s">
        <v>16</v>
      </c>
      <c r="E4" t="s">
        <v>19</v>
      </c>
      <c r="F4" s="2">
        <v>49450500</v>
      </c>
      <c r="G4" s="2">
        <v>34958750</v>
      </c>
      <c r="H4" s="2">
        <v>6991750</v>
      </c>
      <c r="I4" s="2">
        <v>5243812.5</v>
      </c>
      <c r="J4" s="2">
        <v>524381.25</v>
      </c>
    </row>
    <row r="5" spans="1:10" x14ac:dyDescent="0.25">
      <c r="A5">
        <v>2024</v>
      </c>
      <c r="B5" t="s">
        <v>20</v>
      </c>
      <c r="C5" t="s">
        <v>21</v>
      </c>
      <c r="D5" t="s">
        <v>16</v>
      </c>
      <c r="E5" t="s">
        <v>19</v>
      </c>
      <c r="F5" s="2">
        <v>33762750</v>
      </c>
      <c r="G5" s="2">
        <v>21885625</v>
      </c>
      <c r="H5" s="2">
        <v>4377125</v>
      </c>
      <c r="I5" s="2">
        <v>3282843.75</v>
      </c>
      <c r="J5" s="2">
        <v>328284.375</v>
      </c>
    </row>
    <row r="6" spans="1:10" x14ac:dyDescent="0.25">
      <c r="A6">
        <v>2024</v>
      </c>
      <c r="B6" t="s">
        <v>22</v>
      </c>
      <c r="C6" t="s">
        <v>23</v>
      </c>
      <c r="D6" t="s">
        <v>24</v>
      </c>
      <c r="E6" t="s">
        <v>19</v>
      </c>
      <c r="F6" s="2">
        <v>55512500</v>
      </c>
      <c r="G6" s="2">
        <v>40010417</v>
      </c>
      <c r="H6" s="2">
        <v>8002083.333333333</v>
      </c>
      <c r="I6" s="2">
        <v>6001562.5</v>
      </c>
      <c r="J6" s="2">
        <v>600156.25</v>
      </c>
    </row>
    <row r="7" spans="1:10" x14ac:dyDescent="0.25">
      <c r="A7">
        <v>2025</v>
      </c>
      <c r="B7" t="s">
        <v>25</v>
      </c>
      <c r="C7" t="s">
        <v>26</v>
      </c>
      <c r="D7" t="s">
        <v>27</v>
      </c>
      <c r="E7" t="s">
        <v>19</v>
      </c>
      <c r="F7" s="2">
        <v>38647000</v>
      </c>
      <c r="G7" s="2">
        <v>25955833</v>
      </c>
      <c r="H7" s="2">
        <v>5191166.666666667</v>
      </c>
      <c r="I7" s="2">
        <v>3893375</v>
      </c>
      <c r="J7" s="2">
        <v>389337.5</v>
      </c>
    </row>
    <row r="8" spans="1:10" x14ac:dyDescent="0.25">
      <c r="A8">
        <v>2025</v>
      </c>
      <c r="B8" t="s">
        <v>28</v>
      </c>
      <c r="C8" t="s">
        <v>29</v>
      </c>
      <c r="D8" t="s">
        <v>16</v>
      </c>
      <c r="E8" t="s">
        <v>19</v>
      </c>
      <c r="F8" s="2">
        <v>25372500</v>
      </c>
      <c r="G8" s="2">
        <v>14893750</v>
      </c>
      <c r="H8" s="2">
        <v>2978750</v>
      </c>
      <c r="I8" s="2">
        <v>2234062.5</v>
      </c>
      <c r="J8" s="2">
        <v>223406.25</v>
      </c>
    </row>
    <row r="9" spans="1:10" x14ac:dyDescent="0.25">
      <c r="A9">
        <v>2025</v>
      </c>
      <c r="B9" t="s">
        <v>30</v>
      </c>
      <c r="C9" t="s">
        <v>31</v>
      </c>
      <c r="D9" t="s">
        <v>16</v>
      </c>
      <c r="E9" t="s">
        <v>19</v>
      </c>
      <c r="F9" s="2">
        <v>44087500</v>
      </c>
      <c r="G9" s="2">
        <v>30489583</v>
      </c>
      <c r="H9" s="2">
        <v>6097916.666666667</v>
      </c>
      <c r="I9" s="2">
        <v>4573437.5</v>
      </c>
      <c r="J9" s="2">
        <v>457343.75</v>
      </c>
    </row>
    <row r="10" spans="1:10" x14ac:dyDescent="0.25">
      <c r="F10" s="3">
        <f>SUM(F2:F9)</f>
        <v>303238750</v>
      </c>
      <c r="G10" s="3">
        <f t="shared" ref="G10:J10" si="0">SUM(G2:G9)</f>
        <v>202698958</v>
      </c>
      <c r="H10" s="3">
        <f t="shared" si="0"/>
        <v>40539791.666666664</v>
      </c>
      <c r="I10" s="3">
        <f t="shared" si="0"/>
        <v>30404843.75</v>
      </c>
      <c r="J10" s="3">
        <f t="shared" si="0"/>
        <v>3040484.375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Nicolas Cortes Paredes (gabriel.cortes)</cp:lastModifiedBy>
  <dcterms:created xsi:type="dcterms:W3CDTF">2026-09-02T20:17:15Z</dcterms:created>
  <dcterms:modified xsi:type="dcterms:W3CDTF">2026-09-02T22:01:42Z</dcterms:modified>
</cp:coreProperties>
</file>