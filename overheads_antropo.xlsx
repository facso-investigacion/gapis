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GitHub\DIP\gapis\"/>
    </mc:Choice>
  </mc:AlternateContent>
  <xr:revisionPtr revIDLastSave="0" documentId="13_ncr:1_{2309B9F2-90AF-4AED-8CDC-331F667E65EA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2026" sheetId="1" r:id="rId1"/>
    <sheet name="2027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2" l="1"/>
  <c r="G7" i="2"/>
  <c r="H7" i="2"/>
  <c r="I7" i="2"/>
  <c r="G10" i="1"/>
  <c r="H10" i="1"/>
  <c r="I10" i="1"/>
  <c r="F10" i="1"/>
</calcChain>
</file>

<file path=xl/sharedStrings.xml><?xml version="1.0" encoding="utf-8"?>
<sst xmlns="http://schemas.openxmlformats.org/spreadsheetml/2006/main" count="70" uniqueCount="28">
  <si>
    <t>anio_concurso</t>
  </si>
  <si>
    <t>codigo_proyecto</t>
  </si>
  <si>
    <t>investigador_responsable</t>
  </si>
  <si>
    <t>departamento_ir</t>
  </si>
  <si>
    <t>instrumento</t>
  </si>
  <si>
    <t>1231815</t>
  </si>
  <si>
    <t>Mauricio Moraga</t>
  </si>
  <si>
    <t>Antropología</t>
  </si>
  <si>
    <t>Fondecyt Regular</t>
  </si>
  <si>
    <t>1240079</t>
  </si>
  <si>
    <t>Paulina Osorio</t>
  </si>
  <si>
    <t>1240805</t>
  </si>
  <si>
    <t>Kornelius Kupczik</t>
  </si>
  <si>
    <t>1240840</t>
  </si>
  <si>
    <t>María Sol Anigstein</t>
  </si>
  <si>
    <t>1250185</t>
  </si>
  <si>
    <t>Carolina Belmar</t>
  </si>
  <si>
    <t>1250444</t>
  </si>
  <si>
    <t>Carla Maria Pinochet Cobos</t>
  </si>
  <si>
    <t>1251233</t>
  </si>
  <si>
    <t>Andrés Troncoso</t>
  </si>
  <si>
    <t>1261505</t>
  </si>
  <si>
    <t>Francisco Araos</t>
  </si>
  <si>
    <t>Ppto total 2026</t>
  </si>
  <si>
    <t>Ppto Base</t>
  </si>
  <si>
    <t>Overhead Total</t>
  </si>
  <si>
    <t>Overhead FACSO</t>
  </si>
  <si>
    <t>Ppto Total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</si>
</sst>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165" formatCode="&quot;$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2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65" fontId="0" fillId="0" borderId="0" xfId="0" applyNumberFormat="1"/>
    <xf numFmtId="42" fontId="0" fillId="0" borderId="0" xfId="1" applyFont="1"/>
    <xf numFmtId="165" fontId="1" fillId="0" borderId="0" xfId="0" applyNumberFormat="1" applyFont="1"/>
    <xf numFmtId="42" fontId="1" fillId="0" borderId="0" xfId="0" applyNumberFormat="1" applyFont="1"/>
  </cellXfs>
  <cellStyles count="2">
    <cellStyle name="Moneda [0]" xfId="1" builtin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workbookViewId="0">
      <selection activeCell="I10" sqref="F10:I10"/>
    </sheetView>
  </sheetViews>
  <sheetFormatPr baseColWidth="10" defaultColWidth="9.140625" defaultRowHeight="15" x14ac:dyDescent="0.25"/>
  <cols>
    <col min="1" max="1" width="13.7109375" bestFit="1" customWidth="1"/>
    <col min="2" max="2" width="15.7109375" bestFit="1" customWidth="1"/>
    <col min="3" max="3" width="25.28515625" bestFit="1" customWidth="1"/>
    <col min="4" max="4" width="16.140625" bestFit="1" customWidth="1"/>
    <col min="5" max="5" width="16.42578125" bestFit="1" customWidth="1"/>
    <col min="6" max="6" width="15.28515625" bestFit="1" customWidth="1"/>
    <col min="7" max="7" width="14.7109375" bestFit="1" customWidth="1"/>
    <col min="8" max="8" width="14.5703125" bestFit="1" customWidth="1"/>
    <col min="9" max="9" width="16.140625" bestFit="1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 x14ac:dyDescent="0.25">
      <c r="A2">
        <v>2023</v>
      </c>
      <c r="B2" t="s">
        <v>5</v>
      </c>
      <c r="C2" t="s">
        <v>6</v>
      </c>
      <c r="D2" t="s">
        <v>7</v>
      </c>
      <c r="E2" t="s">
        <v>8</v>
      </c>
      <c r="F2" s="2">
        <v>46755000</v>
      </c>
      <c r="G2" s="2">
        <v>32712500</v>
      </c>
      <c r="H2" s="2">
        <v>6542500</v>
      </c>
      <c r="I2" s="2">
        <v>4906875</v>
      </c>
    </row>
    <row r="3" spans="1:9" x14ac:dyDescent="0.25">
      <c r="A3">
        <v>2024</v>
      </c>
      <c r="B3" t="s">
        <v>9</v>
      </c>
      <c r="C3" t="s">
        <v>10</v>
      </c>
      <c r="D3" t="s">
        <v>7</v>
      </c>
      <c r="E3" t="s">
        <v>8</v>
      </c>
      <c r="F3" s="2">
        <v>29800000</v>
      </c>
      <c r="G3" s="2">
        <v>18583333</v>
      </c>
      <c r="H3" s="2">
        <v>3716666.666666667</v>
      </c>
      <c r="I3" s="2">
        <v>2787500</v>
      </c>
    </row>
    <row r="4" spans="1:9" x14ac:dyDescent="0.25">
      <c r="A4">
        <v>2024</v>
      </c>
      <c r="B4" t="s">
        <v>11</v>
      </c>
      <c r="C4" t="s">
        <v>12</v>
      </c>
      <c r="D4" t="s">
        <v>7</v>
      </c>
      <c r="E4" t="s">
        <v>8</v>
      </c>
      <c r="F4" s="2">
        <v>61940000</v>
      </c>
      <c r="G4" s="2">
        <v>45366667</v>
      </c>
      <c r="H4" s="2">
        <v>9073333.333333334</v>
      </c>
      <c r="I4" s="2">
        <v>6805000</v>
      </c>
    </row>
    <row r="5" spans="1:9" x14ac:dyDescent="0.25">
      <c r="A5">
        <v>2024</v>
      </c>
      <c r="B5" t="s">
        <v>13</v>
      </c>
      <c r="C5" t="s">
        <v>14</v>
      </c>
      <c r="D5" t="s">
        <v>7</v>
      </c>
      <c r="E5" t="s">
        <v>8</v>
      </c>
      <c r="F5" s="2">
        <v>34543000</v>
      </c>
      <c r="G5" s="2">
        <v>22535833</v>
      </c>
      <c r="H5" s="2">
        <v>4507166.666666667</v>
      </c>
      <c r="I5" s="2">
        <v>3380375</v>
      </c>
    </row>
    <row r="6" spans="1:9" x14ac:dyDescent="0.25">
      <c r="A6">
        <v>2025</v>
      </c>
      <c r="B6" t="s">
        <v>15</v>
      </c>
      <c r="C6" t="s">
        <v>16</v>
      </c>
      <c r="D6" t="s">
        <v>7</v>
      </c>
      <c r="E6" t="s">
        <v>8</v>
      </c>
      <c r="F6" s="2">
        <v>66140000</v>
      </c>
      <c r="G6" s="2">
        <v>48866667</v>
      </c>
      <c r="H6" s="2">
        <v>9773333.333333334</v>
      </c>
      <c r="I6" s="2">
        <v>7330000</v>
      </c>
    </row>
    <row r="7" spans="1:9" x14ac:dyDescent="0.25">
      <c r="A7">
        <v>2025</v>
      </c>
      <c r="B7" t="s">
        <v>17</v>
      </c>
      <c r="C7" t="s">
        <v>18</v>
      </c>
      <c r="D7" t="s">
        <v>7</v>
      </c>
      <c r="E7" t="s">
        <v>8</v>
      </c>
      <c r="F7" s="2">
        <v>38647000</v>
      </c>
      <c r="G7" s="2">
        <v>25955833</v>
      </c>
      <c r="H7" s="2">
        <v>5191166.666666667</v>
      </c>
      <c r="I7" s="2">
        <v>3893375</v>
      </c>
    </row>
    <row r="8" spans="1:9" x14ac:dyDescent="0.25">
      <c r="A8">
        <v>2025</v>
      </c>
      <c r="B8" t="s">
        <v>19</v>
      </c>
      <c r="C8" t="s">
        <v>20</v>
      </c>
      <c r="D8" t="s">
        <v>7</v>
      </c>
      <c r="E8" t="s">
        <v>8</v>
      </c>
      <c r="F8" s="2">
        <v>63348000</v>
      </c>
      <c r="G8" s="2">
        <v>46540000</v>
      </c>
      <c r="H8" s="2">
        <v>9308000</v>
      </c>
      <c r="I8" s="2">
        <v>6981000</v>
      </c>
    </row>
    <row r="9" spans="1:9" x14ac:dyDescent="0.25">
      <c r="A9">
        <v>2026</v>
      </c>
      <c r="B9" t="s">
        <v>21</v>
      </c>
      <c r="C9" t="s">
        <v>22</v>
      </c>
      <c r="D9" t="s">
        <v>7</v>
      </c>
      <c r="E9" t="s">
        <v>8</v>
      </c>
      <c r="F9" s="2">
        <v>57400000</v>
      </c>
      <c r="G9" s="2">
        <v>41583333</v>
      </c>
      <c r="H9" s="2">
        <v>8316666.666666667</v>
      </c>
      <c r="I9" s="2">
        <v>6237500</v>
      </c>
    </row>
    <row r="10" spans="1:9" x14ac:dyDescent="0.25">
      <c r="F10" s="4">
        <f>SUM(F2:F9)</f>
        <v>398573000</v>
      </c>
      <c r="G10" s="4">
        <f t="shared" ref="G10:I10" si="0">SUM(G2:G9)</f>
        <v>282144166</v>
      </c>
      <c r="H10" s="4">
        <f t="shared" si="0"/>
        <v>56428833.333333328</v>
      </c>
      <c r="I10" s="4">
        <f t="shared" si="0"/>
        <v>42321625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70109-4580-4B03-B6AB-826FAC2FCE25}">
  <dimension ref="A1:I7"/>
  <sheetViews>
    <sheetView tabSelected="1" workbookViewId="0">
      <selection activeCell="I7" sqref="F7:I7"/>
    </sheetView>
  </sheetViews>
  <sheetFormatPr baseColWidth="10" defaultRowHeight="15" x14ac:dyDescent="0.25"/>
  <cols>
    <col min="1" max="1" width="13.7109375" bestFit="1" customWidth="1"/>
    <col min="2" max="2" width="15.7109375" bestFit="1" customWidth="1"/>
    <col min="3" max="3" width="25.28515625" bestFit="1" customWidth="1"/>
    <col min="4" max="4" width="16.140625" bestFit="1" customWidth="1"/>
    <col min="5" max="5" width="16.42578125" bestFit="1" customWidth="1"/>
    <col min="6" max="6" width="15.28515625" bestFit="1" customWidth="1"/>
    <col min="7" max="7" width="14.7109375" bestFit="1" customWidth="1"/>
    <col min="8" max="8" width="14.5703125" bestFit="1" customWidth="1"/>
    <col min="9" max="9" width="1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27</v>
      </c>
      <c r="G1" s="1" t="s">
        <v>24</v>
      </c>
      <c r="H1" s="1" t="s">
        <v>25</v>
      </c>
      <c r="I1" s="1" t="s">
        <v>26</v>
      </c>
    </row>
    <row r="2" spans="1:9" x14ac:dyDescent="0.25">
      <c r="A2">
        <v>2024</v>
      </c>
      <c r="B2" t="s">
        <v>11</v>
      </c>
      <c r="C2" t="s">
        <v>12</v>
      </c>
      <c r="D2" t="s">
        <v>7</v>
      </c>
      <c r="E2" t="s">
        <v>8</v>
      </c>
      <c r="F2" s="3">
        <v>59598000</v>
      </c>
      <c r="G2" s="3">
        <v>43415000</v>
      </c>
      <c r="H2" s="3">
        <v>8683000</v>
      </c>
      <c r="I2" s="3">
        <v>6512250</v>
      </c>
    </row>
    <row r="3" spans="1:9" x14ac:dyDescent="0.25">
      <c r="A3">
        <v>2025</v>
      </c>
      <c r="B3" t="s">
        <v>15</v>
      </c>
      <c r="C3" t="s">
        <v>16</v>
      </c>
      <c r="D3" t="s">
        <v>7</v>
      </c>
      <c r="E3" t="s">
        <v>8</v>
      </c>
      <c r="F3" s="3">
        <v>66400000</v>
      </c>
      <c r="G3" s="3">
        <v>49083333</v>
      </c>
      <c r="H3" s="3">
        <v>9816666.666666666</v>
      </c>
      <c r="I3" s="3">
        <v>7362500</v>
      </c>
    </row>
    <row r="4" spans="1:9" x14ac:dyDescent="0.25">
      <c r="A4">
        <v>2025</v>
      </c>
      <c r="B4" t="s">
        <v>17</v>
      </c>
      <c r="C4" t="s">
        <v>18</v>
      </c>
      <c r="D4" t="s">
        <v>7</v>
      </c>
      <c r="E4" t="s">
        <v>8</v>
      </c>
      <c r="F4" s="3">
        <v>38647000</v>
      </c>
      <c r="G4" s="3">
        <v>25955833</v>
      </c>
      <c r="H4" s="3">
        <v>5191166.666666667</v>
      </c>
      <c r="I4" s="3">
        <v>3893375</v>
      </c>
    </row>
    <row r="5" spans="1:9" x14ac:dyDescent="0.25">
      <c r="A5">
        <v>2025</v>
      </c>
      <c r="B5" t="s">
        <v>19</v>
      </c>
      <c r="C5" t="s">
        <v>20</v>
      </c>
      <c r="D5" t="s">
        <v>7</v>
      </c>
      <c r="E5" t="s">
        <v>8</v>
      </c>
      <c r="F5" s="3">
        <v>64734000</v>
      </c>
      <c r="G5" s="3">
        <v>47695000</v>
      </c>
      <c r="H5" s="3">
        <v>9539000</v>
      </c>
      <c r="I5" s="3">
        <v>7154250</v>
      </c>
    </row>
    <row r="6" spans="1:9" x14ac:dyDescent="0.25">
      <c r="A6">
        <v>2026</v>
      </c>
      <c r="B6" t="s">
        <v>21</v>
      </c>
      <c r="C6" t="s">
        <v>22</v>
      </c>
      <c r="D6" t="s">
        <v>7</v>
      </c>
      <c r="E6" t="s">
        <v>8</v>
      </c>
      <c r="F6" s="3">
        <v>57040000</v>
      </c>
      <c r="G6" s="3">
        <v>41283333</v>
      </c>
      <c r="H6" s="3">
        <v>8256666.666666667</v>
      </c>
      <c r="I6" s="3">
        <v>6192500</v>
      </c>
    </row>
    <row r="7" spans="1:9" x14ac:dyDescent="0.25">
      <c r="F7" s="5">
        <f t="shared" ref="F7:H7" si="0">SUM(F2:F6)</f>
        <v>286419000</v>
      </c>
      <c r="G7" s="5">
        <f t="shared" si="0"/>
        <v>207432499</v>
      </c>
      <c r="H7" s="5">
        <f t="shared" si="0"/>
        <v>41486500</v>
      </c>
      <c r="I7" s="5">
        <f>SUM(I2:I6)</f>
        <v>31114875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2026</vt:lpstr>
      <vt:lpstr>2027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Nicolas Cortes Paredes (gabriel.cortes)</cp:lastModifiedBy>
  <dcterms:created xsi:type="dcterms:W3CDTF">2026-10-01T13:41:22Z</dcterms:created>
  <dcterms:modified xsi:type="dcterms:W3CDTF">2026-10-01T13:56:55Z</dcterms:modified>
</cp:coreProperties>
</file>