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GitHub\DIP\gapis\"/>
    </mc:Choice>
  </mc:AlternateContent>
  <xr:revisionPtr revIDLastSave="0" documentId="13_ncr:1_{03B9B9AB-C7AC-49B3-81DD-8A3A90D9DB47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L3" i="1"/>
  <c r="L4" i="1"/>
  <c r="L5" i="1"/>
  <c r="L6" i="1"/>
  <c r="N8" i="1" s="1"/>
  <c r="L7" i="1"/>
  <c r="L8" i="1"/>
  <c r="L9" i="1"/>
  <c r="L10" i="1"/>
  <c r="L11" i="1"/>
  <c r="L2" i="1"/>
  <c r="N3" i="1"/>
  <c r="N4" i="1"/>
  <c r="N5" i="1"/>
  <c r="N6" i="1"/>
  <c r="N7" i="1"/>
  <c r="N11" i="1"/>
  <c r="N15" i="1"/>
  <c r="N16" i="1"/>
  <c r="N17" i="1"/>
  <c r="N18" i="1"/>
  <c r="N19" i="1"/>
  <c r="N20" i="1"/>
  <c r="N21" i="1"/>
  <c r="N22" i="1"/>
  <c r="N23" i="1"/>
  <c r="N27" i="1"/>
  <c r="N29" i="1"/>
  <c r="N30" i="1"/>
  <c r="N31" i="1"/>
  <c r="N32" i="1"/>
  <c r="N33" i="1"/>
  <c r="N34" i="1"/>
  <c r="N35" i="1"/>
  <c r="N36" i="1"/>
  <c r="N37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J38" i="1"/>
  <c r="K38" i="1"/>
  <c r="F38" i="1"/>
  <c r="G38" i="1"/>
  <c r="H38" i="1"/>
  <c r="I38" i="1"/>
  <c r="E38" i="1"/>
  <c r="N14" i="1" l="1"/>
  <c r="N13" i="1"/>
  <c r="N28" i="1"/>
  <c r="N12" i="1"/>
  <c r="N26" i="1"/>
  <c r="N10" i="1"/>
  <c r="N25" i="1"/>
  <c r="N9" i="1"/>
  <c r="N24" i="1"/>
  <c r="M38" i="1"/>
  <c r="N38" i="1" l="1"/>
</calcChain>
</file>

<file path=xl/sharedStrings.xml><?xml version="1.0" encoding="utf-8"?>
<sst xmlns="http://schemas.openxmlformats.org/spreadsheetml/2006/main" count="85" uniqueCount="51">
  <si>
    <t>Año concurso</t>
  </si>
  <si>
    <t>Código</t>
  </si>
  <si>
    <t>IR</t>
  </si>
  <si>
    <t>Instrumento</t>
  </si>
  <si>
    <t>Ppto solicitado 2025 ($)</t>
  </si>
  <si>
    <t>Overheads Total ($)</t>
  </si>
  <si>
    <t>Overheads FACSO ($)</t>
  </si>
  <si>
    <t>Overheads DIP ($)</t>
  </si>
  <si>
    <t>Javiera Andrea Cubillos Almendra</t>
  </si>
  <si>
    <t>Iniciación en Investigación</t>
  </si>
  <si>
    <t>Carolina Aurora Villagra Pincheira</t>
  </si>
  <si>
    <t>Marcela Patricia Ferrer Lues</t>
  </si>
  <si>
    <t>Maria Soledad Ruiz Jabbaz</t>
  </si>
  <si>
    <t>Carolina Andrea Belmar Pantelis</t>
  </si>
  <si>
    <t>Regular</t>
  </si>
  <si>
    <t>Juan Carlos Castillo Valenzuela</t>
  </si>
  <si>
    <t>Andres Rolando Troncoso Melendez</t>
  </si>
  <si>
    <t>Sergio Alejandro Toro Arevalo</t>
  </si>
  <si>
    <t>Vanetza Estela Quezada Scholz</t>
  </si>
  <si>
    <t>Nicolas Salvador Gregorio Angelcos Gutierrez</t>
  </si>
  <si>
    <t>Marcela Eliana Betancourt Saez</t>
  </si>
  <si>
    <t>Paulina Isabel Osorio Parraguez</t>
  </si>
  <si>
    <t>Gianinna Ines Munoz Arce</t>
  </si>
  <si>
    <t>Maria Emilia Tijoux Merino</t>
  </si>
  <si>
    <t>Rodrigo Carlos Cornejo Chavez</t>
  </si>
  <si>
    <t>Daniela Cecilia Thumala Dockendorff</t>
  </si>
  <si>
    <t>Kornelius Florian Kupczik</t>
  </si>
  <si>
    <t>Maria Sol Anigstein</t>
  </si>
  <si>
    <t>Susan Valeria Sanhueza Henriquez</t>
  </si>
  <si>
    <t>Daniel Andres Miranda Fuenzalida</t>
  </si>
  <si>
    <t>Sofia Catalina Donoso Knaudt</t>
  </si>
  <si>
    <t>Diego Rodrigo Salazar Sutil</t>
  </si>
  <si>
    <t>Pablo Alonso Perez Ahumada</t>
  </si>
  <si>
    <t>Maria Gabriela Rubilar Donoso</t>
  </si>
  <si>
    <t>Tal Reininger Pollak</t>
  </si>
  <si>
    <t>Fernando Andres Campos Medina</t>
  </si>
  <si>
    <t>Anahi Veronica Josefina Urquiza Gomez</t>
  </si>
  <si>
    <t>Loreto Evelyn Leiva Bahamondes</t>
  </si>
  <si>
    <t>Lorena Andrea Perez Roa</t>
  </si>
  <si>
    <t>Hillary Carroll Hiner</t>
  </si>
  <si>
    <t>Maria Lorena Sanhueza Riquelme</t>
  </si>
  <si>
    <t>Rodrigo Anselmo Asun Inostroza</t>
  </si>
  <si>
    <t>Francisco Javier Araos Leiva</t>
  </si>
  <si>
    <t>Gonzalo Javier Miguez Cavieres</t>
  </si>
  <si>
    <t>Emiliano Nicolas Gissi Barbieri</t>
  </si>
  <si>
    <t>Patricio Felipe De Souza Herreros</t>
  </si>
  <si>
    <t>Monto Facultad (75%)</t>
  </si>
  <si>
    <t>Estimación Minima</t>
  </si>
  <si>
    <t>Estimación Máxima</t>
  </si>
  <si>
    <t>Ppto anual total SEPAVID</t>
  </si>
  <si>
    <t>Monto Asignado ANID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</si>
</sst>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6" fontId="0" fillId="0" borderId="0" xfId="0" applyNumberFormat="1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workbookViewId="0">
      <selection activeCell="N3" sqref="N3"/>
    </sheetView>
  </sheetViews>
  <sheetFormatPr baseColWidth="10" defaultColWidth="9.140625" defaultRowHeight="15" x14ac:dyDescent="0.25"/>
  <cols>
    <col min="1" max="1" width="12.85546875" bestFit="1" customWidth="1"/>
    <col min="2" max="2" width="9" bestFit="1" customWidth="1"/>
    <col min="3" max="3" width="41.42578125" bestFit="1" customWidth="1"/>
    <col min="4" max="4" width="24.5703125" bestFit="1" customWidth="1"/>
    <col min="5" max="5" width="18" bestFit="1" customWidth="1"/>
    <col min="6" max="6" width="21.7109375" hidden="1" customWidth="1"/>
    <col min="7" max="7" width="18.42578125" hidden="1" customWidth="1"/>
    <col min="8" max="8" width="19.85546875" hidden="1" customWidth="1"/>
    <col min="9" max="9" width="17" hidden="1" customWidth="1"/>
    <col min="10" max="10" width="17.7109375" bestFit="1" customWidth="1"/>
    <col min="11" max="11" width="20.42578125" bestFit="1" customWidth="1"/>
    <col min="12" max="12" width="0" hidden="1" customWidth="1"/>
    <col min="13" max="13" width="18" bestFit="1" customWidth="1"/>
    <col min="14" max="14" width="18.28515625" bestFit="1" customWidth="1"/>
  </cols>
  <sheetData>
    <row r="1" spans="1:14" s="1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49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50</v>
      </c>
      <c r="K1" s="1" t="s">
        <v>46</v>
      </c>
      <c r="M1" s="1" t="s">
        <v>47</v>
      </c>
      <c r="N1" s="1" t="s">
        <v>48</v>
      </c>
    </row>
    <row r="2" spans="1:14" x14ac:dyDescent="0.25">
      <c r="A2">
        <v>2025</v>
      </c>
      <c r="B2">
        <v>11251033</v>
      </c>
      <c r="C2" t="s">
        <v>8</v>
      </c>
      <c r="D2" t="s">
        <v>9</v>
      </c>
      <c r="E2" s="2">
        <v>33713000</v>
      </c>
      <c r="F2" s="2">
        <v>28094166.666666672</v>
      </c>
      <c r="G2" s="2">
        <v>5618833.333333334</v>
      </c>
      <c r="H2" s="2">
        <v>4214125</v>
      </c>
      <c r="I2" s="2">
        <v>421412.50000000012</v>
      </c>
      <c r="J2" s="2">
        <v>4619000</v>
      </c>
      <c r="K2" s="2">
        <v>3464250</v>
      </c>
      <c r="L2">
        <f>K2/E2</f>
        <v>0.10275709666894077</v>
      </c>
      <c r="M2" s="2">
        <f>E2*L$3</f>
        <v>3119262.6981034037</v>
      </c>
      <c r="N2" s="2">
        <f>L$6*E2</f>
        <v>3814049.8417721521</v>
      </c>
    </row>
    <row r="3" spans="1:14" x14ac:dyDescent="0.25">
      <c r="A3">
        <v>2025</v>
      </c>
      <c r="B3">
        <v>11251819</v>
      </c>
      <c r="C3" t="s">
        <v>10</v>
      </c>
      <c r="D3" t="s">
        <v>9</v>
      </c>
      <c r="E3" s="2">
        <v>23094000</v>
      </c>
      <c r="F3" s="2">
        <v>19245000</v>
      </c>
      <c r="G3" s="2">
        <v>3849000</v>
      </c>
      <c r="H3" s="2">
        <v>2886750</v>
      </c>
      <c r="I3" s="2">
        <v>288675</v>
      </c>
      <c r="J3" s="2">
        <v>2849000</v>
      </c>
      <c r="K3" s="2">
        <v>2136750</v>
      </c>
      <c r="L3">
        <f t="shared" ref="L3:L11" si="0">K3/E3</f>
        <v>9.252403221616004E-2</v>
      </c>
      <c r="M3" s="2">
        <f t="shared" ref="M3:M37" si="1">E3*L$3</f>
        <v>2136750</v>
      </c>
      <c r="N3" s="2">
        <f t="shared" ref="N3:N37" si="2">L$6*E3</f>
        <v>2612691.4556962028</v>
      </c>
    </row>
    <row r="4" spans="1:14" x14ac:dyDescent="0.25">
      <c r="A4">
        <v>2025</v>
      </c>
      <c r="B4">
        <v>11251909</v>
      </c>
      <c r="C4" t="s">
        <v>11</v>
      </c>
      <c r="D4" t="s">
        <v>9</v>
      </c>
      <c r="E4" s="2">
        <v>31668000</v>
      </c>
      <c r="F4" s="2">
        <v>26390000</v>
      </c>
      <c r="G4" s="2">
        <v>5278000</v>
      </c>
      <c r="H4" s="2">
        <v>3958500</v>
      </c>
      <c r="I4" s="2">
        <v>395850</v>
      </c>
      <c r="J4" s="2">
        <v>4278000</v>
      </c>
      <c r="K4" s="2">
        <v>3208500</v>
      </c>
      <c r="L4">
        <f t="shared" si="0"/>
        <v>0.10131678666161424</v>
      </c>
      <c r="M4" s="2">
        <f t="shared" si="1"/>
        <v>2930051.052221356</v>
      </c>
      <c r="N4" s="2">
        <f t="shared" si="2"/>
        <v>3582693.0379746836</v>
      </c>
    </row>
    <row r="5" spans="1:14" x14ac:dyDescent="0.25">
      <c r="A5">
        <v>2025</v>
      </c>
      <c r="B5">
        <v>11251924</v>
      </c>
      <c r="C5" t="s">
        <v>12</v>
      </c>
      <c r="D5" t="s">
        <v>9</v>
      </c>
      <c r="E5" s="2">
        <v>34250000</v>
      </c>
      <c r="F5" s="2">
        <v>28541666.666666672</v>
      </c>
      <c r="G5" s="2">
        <v>5708333.333333334</v>
      </c>
      <c r="H5" s="2">
        <v>4281250</v>
      </c>
      <c r="I5" s="2">
        <v>428125.00000000012</v>
      </c>
      <c r="J5" s="2">
        <v>4708000</v>
      </c>
      <c r="K5" s="2">
        <v>3510000</v>
      </c>
      <c r="L5">
        <f t="shared" si="0"/>
        <v>0.10248175182481752</v>
      </c>
      <c r="M5" s="2">
        <f t="shared" si="1"/>
        <v>3168948.1034034812</v>
      </c>
      <c r="N5" s="2">
        <f t="shared" si="2"/>
        <v>3874802.2151898737</v>
      </c>
    </row>
    <row r="6" spans="1:14" x14ac:dyDescent="0.25">
      <c r="A6">
        <v>2025</v>
      </c>
      <c r="B6">
        <v>1250185</v>
      </c>
      <c r="C6" t="s">
        <v>13</v>
      </c>
      <c r="D6" t="s">
        <v>14</v>
      </c>
      <c r="E6" s="2">
        <v>66360000</v>
      </c>
      <c r="F6" s="2">
        <v>55300000</v>
      </c>
      <c r="G6" s="2">
        <v>11060000</v>
      </c>
      <c r="H6" s="2">
        <v>8295000</v>
      </c>
      <c r="I6" s="2">
        <v>829500</v>
      </c>
      <c r="J6" s="2">
        <v>10010000</v>
      </c>
      <c r="K6" s="2">
        <v>7507500</v>
      </c>
      <c r="L6">
        <f t="shared" si="0"/>
        <v>0.11313291139240507</v>
      </c>
      <c r="M6" s="2">
        <f t="shared" si="1"/>
        <v>6139894.7778643807</v>
      </c>
      <c r="N6" s="2">
        <f t="shared" si="2"/>
        <v>7507500</v>
      </c>
    </row>
    <row r="7" spans="1:14" x14ac:dyDescent="0.25">
      <c r="A7">
        <v>2025</v>
      </c>
      <c r="B7">
        <v>1250518</v>
      </c>
      <c r="C7" t="s">
        <v>15</v>
      </c>
      <c r="D7" t="s">
        <v>14</v>
      </c>
      <c r="E7" s="2">
        <v>44340000</v>
      </c>
      <c r="F7" s="2">
        <v>36950000</v>
      </c>
      <c r="G7" s="2">
        <v>7390000</v>
      </c>
      <c r="H7" s="2">
        <v>5542500</v>
      </c>
      <c r="I7" s="2">
        <v>554250</v>
      </c>
      <c r="J7" s="2"/>
      <c r="L7">
        <f t="shared" si="0"/>
        <v>0</v>
      </c>
      <c r="M7" s="2">
        <f t="shared" si="1"/>
        <v>4102515.5884645362</v>
      </c>
      <c r="N7" s="2">
        <f t="shared" si="2"/>
        <v>5016313.2911392404</v>
      </c>
    </row>
    <row r="8" spans="1:14" x14ac:dyDescent="0.25">
      <c r="A8">
        <v>2025</v>
      </c>
      <c r="B8">
        <v>1251233</v>
      </c>
      <c r="C8" t="s">
        <v>16</v>
      </c>
      <c r="D8" t="s">
        <v>14</v>
      </c>
      <c r="E8" s="2">
        <v>65131000</v>
      </c>
      <c r="F8" s="2">
        <v>54275833.333333343</v>
      </c>
      <c r="G8" s="2">
        <v>10855166.66666667</v>
      </c>
      <c r="H8" s="2">
        <v>8141375.0000000009</v>
      </c>
      <c r="I8" s="2">
        <v>814137.50000000012</v>
      </c>
      <c r="J8" s="2"/>
      <c r="L8">
        <f t="shared" si="0"/>
        <v>0</v>
      </c>
      <c r="M8" s="2">
        <f t="shared" si="1"/>
        <v>6026182.7422707193</v>
      </c>
      <c r="N8" s="2">
        <f t="shared" si="2"/>
        <v>7368459.6518987343</v>
      </c>
    </row>
    <row r="9" spans="1:14" x14ac:dyDescent="0.25">
      <c r="A9">
        <v>2025</v>
      </c>
      <c r="B9">
        <v>1251297</v>
      </c>
      <c r="C9" t="s">
        <v>17</v>
      </c>
      <c r="D9" t="s">
        <v>14</v>
      </c>
      <c r="E9" s="2">
        <v>59100000</v>
      </c>
      <c r="F9" s="2">
        <v>49250000</v>
      </c>
      <c r="G9" s="2">
        <v>9850000</v>
      </c>
      <c r="H9" s="2">
        <v>7387500</v>
      </c>
      <c r="I9" s="2">
        <v>738750</v>
      </c>
      <c r="J9" s="2"/>
      <c r="L9">
        <f t="shared" si="0"/>
        <v>0</v>
      </c>
      <c r="M9" s="2">
        <f t="shared" si="1"/>
        <v>5468170.3039750587</v>
      </c>
      <c r="N9" s="2">
        <f t="shared" si="2"/>
        <v>6686155.0632911399</v>
      </c>
    </row>
    <row r="10" spans="1:14" x14ac:dyDescent="0.25">
      <c r="A10">
        <v>2025</v>
      </c>
      <c r="B10">
        <v>1251388</v>
      </c>
      <c r="C10" t="s">
        <v>18</v>
      </c>
      <c r="D10" t="s">
        <v>14</v>
      </c>
      <c r="E10" s="2">
        <v>60071000</v>
      </c>
      <c r="F10" s="2">
        <v>50059166.666666672</v>
      </c>
      <c r="G10" s="2">
        <v>10011833.33333333</v>
      </c>
      <c r="H10" s="2">
        <v>7508875</v>
      </c>
      <c r="I10" s="2">
        <v>750887.5</v>
      </c>
      <c r="J10" s="2"/>
      <c r="L10">
        <f t="shared" si="0"/>
        <v>0</v>
      </c>
      <c r="M10" s="2">
        <f t="shared" si="1"/>
        <v>5558011.1392569495</v>
      </c>
      <c r="N10" s="2">
        <f t="shared" si="2"/>
        <v>6796007.1202531653</v>
      </c>
    </row>
    <row r="11" spans="1:14" x14ac:dyDescent="0.25">
      <c r="A11">
        <v>2025</v>
      </c>
      <c r="B11">
        <v>1251621</v>
      </c>
      <c r="C11" t="s">
        <v>19</v>
      </c>
      <c r="D11" t="s">
        <v>14</v>
      </c>
      <c r="E11" s="2">
        <v>25504000</v>
      </c>
      <c r="F11" s="2">
        <v>21253333.33333334</v>
      </c>
      <c r="G11" s="2">
        <v>4250666.666666667</v>
      </c>
      <c r="H11" s="2">
        <v>3188000</v>
      </c>
      <c r="I11" s="2">
        <v>318800</v>
      </c>
      <c r="J11" s="2">
        <v>3167000</v>
      </c>
      <c r="K11" s="2">
        <v>2375250</v>
      </c>
      <c r="L11">
        <f t="shared" si="0"/>
        <v>9.3132449811794235E-2</v>
      </c>
      <c r="M11" s="2">
        <f t="shared" si="1"/>
        <v>2359732.9176409459</v>
      </c>
      <c r="N11" s="2">
        <f t="shared" si="2"/>
        <v>2885341.7721518991</v>
      </c>
    </row>
    <row r="12" spans="1:14" x14ac:dyDescent="0.25">
      <c r="A12">
        <v>2024</v>
      </c>
      <c r="B12">
        <v>11240671</v>
      </c>
      <c r="C12" t="s">
        <v>20</v>
      </c>
      <c r="D12" t="s">
        <v>9</v>
      </c>
      <c r="E12" s="2">
        <v>27540000</v>
      </c>
      <c r="F12" s="2">
        <v>22950000</v>
      </c>
      <c r="G12" s="2">
        <v>4590000</v>
      </c>
      <c r="H12" s="2">
        <v>3442500</v>
      </c>
      <c r="I12" s="2">
        <v>344250</v>
      </c>
      <c r="J12" s="2"/>
      <c r="M12" s="2">
        <f t="shared" si="1"/>
        <v>2548111.8472330477</v>
      </c>
      <c r="N12" s="2">
        <f t="shared" si="2"/>
        <v>3115680.3797468357</v>
      </c>
    </row>
    <row r="13" spans="1:14" x14ac:dyDescent="0.25">
      <c r="A13">
        <v>2024</v>
      </c>
      <c r="B13">
        <v>1240079</v>
      </c>
      <c r="C13" t="s">
        <v>21</v>
      </c>
      <c r="D13" t="s">
        <v>14</v>
      </c>
      <c r="E13" s="2">
        <v>44883000</v>
      </c>
      <c r="F13" s="2">
        <v>37402500</v>
      </c>
      <c r="G13" s="2">
        <v>7480500</v>
      </c>
      <c r="H13" s="2">
        <v>5610375</v>
      </c>
      <c r="I13" s="2">
        <v>561037.5</v>
      </c>
      <c r="J13" s="2"/>
      <c r="M13" s="2">
        <f t="shared" si="1"/>
        <v>4152756.137957911</v>
      </c>
      <c r="N13" s="2">
        <f t="shared" si="2"/>
        <v>5077744.4620253164</v>
      </c>
    </row>
    <row r="14" spans="1:14" x14ac:dyDescent="0.25">
      <c r="A14">
        <v>2024</v>
      </c>
      <c r="B14">
        <v>1240100</v>
      </c>
      <c r="C14" t="s">
        <v>22</v>
      </c>
      <c r="D14" t="s">
        <v>14</v>
      </c>
      <c r="E14" s="2">
        <v>64788000</v>
      </c>
      <c r="F14" s="2">
        <v>53990000</v>
      </c>
      <c r="G14" s="2">
        <v>10798000</v>
      </c>
      <c r="H14" s="2">
        <v>8098500</v>
      </c>
      <c r="I14" s="2">
        <v>809850</v>
      </c>
      <c r="J14" s="2"/>
      <c r="M14" s="2">
        <f t="shared" si="1"/>
        <v>5994446.9992205771</v>
      </c>
      <c r="N14" s="2">
        <f t="shared" si="2"/>
        <v>7329655.0632911399</v>
      </c>
    </row>
    <row r="15" spans="1:14" x14ac:dyDescent="0.25">
      <c r="A15">
        <v>2024</v>
      </c>
      <c r="B15">
        <v>1240125</v>
      </c>
      <c r="C15" t="s">
        <v>23</v>
      </c>
      <c r="D15" t="s">
        <v>14</v>
      </c>
      <c r="E15" s="2">
        <v>66127000</v>
      </c>
      <c r="F15" s="2">
        <v>55105833.333333343</v>
      </c>
      <c r="G15" s="2">
        <v>11021166.66666667</v>
      </c>
      <c r="H15" s="2">
        <v>8265875.0000000009</v>
      </c>
      <c r="I15" s="2">
        <v>826587.50000000012</v>
      </c>
      <c r="J15" s="2"/>
      <c r="M15" s="2">
        <f t="shared" si="1"/>
        <v>6118336.6783580147</v>
      </c>
      <c r="N15" s="2">
        <f t="shared" si="2"/>
        <v>7481140.03164557</v>
      </c>
    </row>
    <row r="16" spans="1:14" x14ac:dyDescent="0.25">
      <c r="A16">
        <v>2024</v>
      </c>
      <c r="B16">
        <v>1240155</v>
      </c>
      <c r="C16" t="s">
        <v>24</v>
      </c>
      <c r="D16" t="s">
        <v>14</v>
      </c>
      <c r="E16" s="2">
        <v>64506000</v>
      </c>
      <c r="F16" s="2">
        <v>53755000</v>
      </c>
      <c r="G16" s="2">
        <v>10751000</v>
      </c>
      <c r="H16" s="2">
        <v>8063250</v>
      </c>
      <c r="I16" s="2">
        <v>806325</v>
      </c>
      <c r="J16" s="2"/>
      <c r="M16" s="2">
        <f t="shared" si="1"/>
        <v>5968355.2221356193</v>
      </c>
      <c r="N16" s="2">
        <f t="shared" si="2"/>
        <v>7297751.5822784817</v>
      </c>
    </row>
    <row r="17" spans="1:14" x14ac:dyDescent="0.25">
      <c r="A17">
        <v>2024</v>
      </c>
      <c r="B17">
        <v>1240683</v>
      </c>
      <c r="C17" t="s">
        <v>25</v>
      </c>
      <c r="D17" t="s">
        <v>14</v>
      </c>
      <c r="E17" s="2">
        <v>66557000</v>
      </c>
      <c r="F17" s="2">
        <v>55464166.666666672</v>
      </c>
      <c r="G17" s="2">
        <v>11092833.33333334</v>
      </c>
      <c r="H17" s="2">
        <v>8319625.0000000019</v>
      </c>
      <c r="I17" s="2">
        <v>831962.50000000012</v>
      </c>
      <c r="J17" s="2"/>
      <c r="M17" s="2">
        <f t="shared" si="1"/>
        <v>6158122.0122109642</v>
      </c>
      <c r="N17" s="2">
        <f t="shared" si="2"/>
        <v>7529787.1835443042</v>
      </c>
    </row>
    <row r="18" spans="1:14" x14ac:dyDescent="0.25">
      <c r="A18">
        <v>2024</v>
      </c>
      <c r="B18">
        <v>1240805</v>
      </c>
      <c r="C18" t="s">
        <v>26</v>
      </c>
      <c r="D18" t="s">
        <v>14</v>
      </c>
      <c r="E18" s="2">
        <v>66556000</v>
      </c>
      <c r="F18" s="2">
        <v>55463333.333333343</v>
      </c>
      <c r="G18" s="2">
        <v>11092666.66666667</v>
      </c>
      <c r="H18" s="2">
        <v>8319500.0000000009</v>
      </c>
      <c r="I18" s="2">
        <v>831950.00000000012</v>
      </c>
      <c r="J18" s="2"/>
      <c r="M18" s="2">
        <f t="shared" si="1"/>
        <v>6158029.4881787477</v>
      </c>
      <c r="N18" s="2">
        <f t="shared" si="2"/>
        <v>7529674.0506329117</v>
      </c>
    </row>
    <row r="19" spans="1:14" x14ac:dyDescent="0.25">
      <c r="A19">
        <v>2024</v>
      </c>
      <c r="B19">
        <v>1240840</v>
      </c>
      <c r="C19" t="s">
        <v>27</v>
      </c>
      <c r="D19" t="s">
        <v>14</v>
      </c>
      <c r="E19" s="2">
        <v>50121000</v>
      </c>
      <c r="F19" s="2">
        <v>41767500</v>
      </c>
      <c r="G19" s="2">
        <v>8353500</v>
      </c>
      <c r="H19" s="2">
        <v>6265125</v>
      </c>
      <c r="I19" s="2">
        <v>626512.5</v>
      </c>
      <c r="J19" s="2"/>
      <c r="M19" s="2">
        <f t="shared" si="1"/>
        <v>4637397.0187061578</v>
      </c>
      <c r="N19" s="2">
        <f t="shared" si="2"/>
        <v>5670334.6518987343</v>
      </c>
    </row>
    <row r="20" spans="1:14" x14ac:dyDescent="0.25">
      <c r="A20">
        <v>2024</v>
      </c>
      <c r="B20">
        <v>1240863</v>
      </c>
      <c r="C20" t="s">
        <v>28</v>
      </c>
      <c r="D20" t="s">
        <v>14</v>
      </c>
      <c r="E20" s="2">
        <v>65144000</v>
      </c>
      <c r="F20" s="2">
        <v>54286666.666666672</v>
      </c>
      <c r="G20" s="2">
        <v>10857333.33333334</v>
      </c>
      <c r="H20" s="2">
        <v>8143000.0000000019</v>
      </c>
      <c r="I20" s="2">
        <v>814300.00000000012</v>
      </c>
      <c r="J20" s="2"/>
      <c r="M20" s="2">
        <f t="shared" si="1"/>
        <v>6027385.5546895294</v>
      </c>
      <c r="N20" s="2">
        <f t="shared" si="2"/>
        <v>7369930.3797468357</v>
      </c>
    </row>
    <row r="21" spans="1:14" x14ac:dyDescent="0.25">
      <c r="A21">
        <v>2024</v>
      </c>
      <c r="B21">
        <v>1240922</v>
      </c>
      <c r="C21" t="s">
        <v>29</v>
      </c>
      <c r="D21" t="s">
        <v>14</v>
      </c>
      <c r="E21" s="2">
        <v>57387500</v>
      </c>
      <c r="F21" s="2">
        <v>47822916.666666672</v>
      </c>
      <c r="G21" s="2">
        <v>9564583.333333334</v>
      </c>
      <c r="H21" s="2">
        <v>7173437.5</v>
      </c>
      <c r="I21" s="2">
        <v>717343.75</v>
      </c>
      <c r="J21" s="2"/>
      <c r="M21" s="2">
        <f t="shared" si="1"/>
        <v>5309722.8988048844</v>
      </c>
      <c r="N21" s="2">
        <f t="shared" si="2"/>
        <v>6492414.952531646</v>
      </c>
    </row>
    <row r="22" spans="1:14" x14ac:dyDescent="0.25">
      <c r="A22">
        <v>2024</v>
      </c>
      <c r="B22">
        <v>1240960</v>
      </c>
      <c r="C22" t="s">
        <v>30</v>
      </c>
      <c r="D22" t="s">
        <v>14</v>
      </c>
      <c r="E22" s="2">
        <v>38916000</v>
      </c>
      <c r="F22" s="2">
        <v>32430000</v>
      </c>
      <c r="G22" s="2">
        <v>6486000</v>
      </c>
      <c r="H22" s="2">
        <v>4864500</v>
      </c>
      <c r="I22" s="2">
        <v>486450</v>
      </c>
      <c r="J22" s="2"/>
      <c r="M22" s="2">
        <f t="shared" si="1"/>
        <v>3600665.2377240839</v>
      </c>
      <c r="N22" s="2">
        <f t="shared" si="2"/>
        <v>4402680.3797468357</v>
      </c>
    </row>
    <row r="23" spans="1:14" x14ac:dyDescent="0.25">
      <c r="A23">
        <v>2024</v>
      </c>
      <c r="B23">
        <v>1241736</v>
      </c>
      <c r="C23" t="s">
        <v>31</v>
      </c>
      <c r="D23" t="s">
        <v>14</v>
      </c>
      <c r="E23" s="2">
        <v>50744000</v>
      </c>
      <c r="F23" s="2">
        <v>42286666.666666672</v>
      </c>
      <c r="G23" s="2">
        <v>8457333.333333334</v>
      </c>
      <c r="H23" s="2">
        <v>6343000</v>
      </c>
      <c r="I23" s="2">
        <v>634300</v>
      </c>
      <c r="J23" s="2"/>
      <c r="M23" s="2">
        <f t="shared" si="1"/>
        <v>4695039.4907768248</v>
      </c>
      <c r="N23" s="2">
        <f t="shared" si="2"/>
        <v>5740816.4556962028</v>
      </c>
    </row>
    <row r="24" spans="1:14" x14ac:dyDescent="0.25">
      <c r="A24">
        <v>2023</v>
      </c>
      <c r="B24">
        <v>1230056</v>
      </c>
      <c r="C24" t="s">
        <v>32</v>
      </c>
      <c r="D24" t="s">
        <v>14</v>
      </c>
      <c r="E24" s="2">
        <v>20000000</v>
      </c>
      <c r="F24" s="2">
        <v>16666666.66666667</v>
      </c>
      <c r="G24" s="2">
        <v>3333333.333333334</v>
      </c>
      <c r="H24" s="2">
        <v>2500000</v>
      </c>
      <c r="I24" s="2">
        <v>250000</v>
      </c>
      <c r="J24" s="2"/>
      <c r="M24" s="2">
        <f t="shared" si="1"/>
        <v>1850480.6443232009</v>
      </c>
      <c r="N24" s="2">
        <f t="shared" si="2"/>
        <v>2262658.2278481014</v>
      </c>
    </row>
    <row r="25" spans="1:14" x14ac:dyDescent="0.25">
      <c r="A25">
        <v>2023</v>
      </c>
      <c r="B25">
        <v>1230605</v>
      </c>
      <c r="C25" t="s">
        <v>33</v>
      </c>
      <c r="D25" t="s">
        <v>14</v>
      </c>
      <c r="E25" s="2">
        <v>33580000</v>
      </c>
      <c r="F25" s="2">
        <v>27983333.33333334</v>
      </c>
      <c r="G25" s="2">
        <v>5596666.6666666679</v>
      </c>
      <c r="H25" s="2">
        <v>4197500.0000000009</v>
      </c>
      <c r="I25" s="2">
        <v>419750.00000000012</v>
      </c>
      <c r="J25" s="2"/>
      <c r="M25" s="2">
        <f t="shared" si="1"/>
        <v>3106957.0018186541</v>
      </c>
      <c r="N25" s="2">
        <f t="shared" si="2"/>
        <v>3799003.1645569624</v>
      </c>
    </row>
    <row r="26" spans="1:14" x14ac:dyDescent="0.25">
      <c r="A26">
        <v>2023</v>
      </c>
      <c r="B26">
        <v>1230925</v>
      </c>
      <c r="C26" t="s">
        <v>34</v>
      </c>
      <c r="D26" t="s">
        <v>14</v>
      </c>
      <c r="E26" s="2">
        <v>45140000</v>
      </c>
      <c r="F26" s="2">
        <v>37616666.666666672</v>
      </c>
      <c r="G26" s="2">
        <v>7523333.3333333349</v>
      </c>
      <c r="H26" s="2">
        <v>5642500.0000000009</v>
      </c>
      <c r="I26" s="2">
        <v>564250.00000000012</v>
      </c>
      <c r="J26" s="2"/>
      <c r="M26" s="2">
        <f t="shared" si="1"/>
        <v>4176534.8142374642</v>
      </c>
      <c r="N26" s="2">
        <f t="shared" si="2"/>
        <v>5106819.6202531653</v>
      </c>
    </row>
    <row r="27" spans="1:14" x14ac:dyDescent="0.25">
      <c r="A27">
        <v>2023</v>
      </c>
      <c r="B27">
        <v>1231353</v>
      </c>
      <c r="C27" t="s">
        <v>35</v>
      </c>
      <c r="D27" t="s">
        <v>14</v>
      </c>
      <c r="E27" s="2">
        <v>53425000</v>
      </c>
      <c r="F27" s="2">
        <v>44520833.333333343</v>
      </c>
      <c r="G27" s="2">
        <v>8904166.6666666679</v>
      </c>
      <c r="H27" s="2">
        <v>6678125.0000000009</v>
      </c>
      <c r="I27" s="2">
        <v>667812.50000000012</v>
      </c>
      <c r="J27" s="2"/>
      <c r="M27" s="2">
        <f t="shared" si="1"/>
        <v>4943096.4211483505</v>
      </c>
      <c r="N27" s="2">
        <f t="shared" si="2"/>
        <v>6044125.7911392404</v>
      </c>
    </row>
    <row r="28" spans="1:14" x14ac:dyDescent="0.25">
      <c r="A28">
        <v>2023</v>
      </c>
      <c r="B28">
        <v>1231404</v>
      </c>
      <c r="C28" t="s">
        <v>36</v>
      </c>
      <c r="D28" t="s">
        <v>14</v>
      </c>
      <c r="E28" s="2">
        <v>56556000</v>
      </c>
      <c r="F28" s="2">
        <v>47130000</v>
      </c>
      <c r="G28" s="2">
        <v>9426000</v>
      </c>
      <c r="H28" s="2">
        <v>7069500</v>
      </c>
      <c r="I28" s="2">
        <v>706950</v>
      </c>
      <c r="J28" s="2"/>
      <c r="M28" s="2">
        <f t="shared" si="1"/>
        <v>5232789.1660171468</v>
      </c>
      <c r="N28" s="2">
        <f t="shared" si="2"/>
        <v>6398344.936708861</v>
      </c>
    </row>
    <row r="29" spans="1:14" x14ac:dyDescent="0.25">
      <c r="A29">
        <v>2023</v>
      </c>
      <c r="B29">
        <v>1231506</v>
      </c>
      <c r="C29" t="s">
        <v>37</v>
      </c>
      <c r="D29" t="s">
        <v>14</v>
      </c>
      <c r="E29" s="2">
        <v>60491000</v>
      </c>
      <c r="F29" s="2">
        <v>50409166.666666672</v>
      </c>
      <c r="G29" s="2">
        <v>10081833.33333334</v>
      </c>
      <c r="H29" s="2">
        <v>7561375.0000000019</v>
      </c>
      <c r="I29" s="2">
        <v>756137.50000000012</v>
      </c>
      <c r="J29" s="2"/>
      <c r="M29" s="2">
        <f t="shared" si="1"/>
        <v>5596871.2327877367</v>
      </c>
      <c r="N29" s="2">
        <f t="shared" si="2"/>
        <v>6843522.9430379746</v>
      </c>
    </row>
    <row r="30" spans="1:14" x14ac:dyDescent="0.25">
      <c r="A30">
        <v>2022</v>
      </c>
      <c r="B30">
        <v>1220039</v>
      </c>
      <c r="C30" t="s">
        <v>38</v>
      </c>
      <c r="D30" t="s">
        <v>14</v>
      </c>
      <c r="E30" s="2">
        <v>39540000</v>
      </c>
      <c r="F30" s="2">
        <v>32950000</v>
      </c>
      <c r="G30" s="2">
        <v>6590000</v>
      </c>
      <c r="H30" s="2">
        <v>4942500</v>
      </c>
      <c r="I30" s="2">
        <v>494250</v>
      </c>
      <c r="J30" s="2"/>
      <c r="M30" s="2">
        <f t="shared" si="1"/>
        <v>3658400.2338269679</v>
      </c>
      <c r="N30" s="2">
        <f t="shared" si="2"/>
        <v>4473275.3164556967</v>
      </c>
    </row>
    <row r="31" spans="1:14" x14ac:dyDescent="0.25">
      <c r="A31">
        <v>2022</v>
      </c>
      <c r="B31">
        <v>1220139</v>
      </c>
      <c r="C31" t="s">
        <v>39</v>
      </c>
      <c r="D31" t="s">
        <v>14</v>
      </c>
      <c r="E31" s="2">
        <v>36104000</v>
      </c>
      <c r="F31" s="2">
        <v>30086666.666666672</v>
      </c>
      <c r="G31" s="2">
        <v>6017333.333333334</v>
      </c>
      <c r="H31" s="2">
        <v>4513000</v>
      </c>
      <c r="I31" s="2">
        <v>451300.00000000012</v>
      </c>
      <c r="J31" s="2"/>
      <c r="M31" s="2">
        <f t="shared" si="1"/>
        <v>3340487.6591322422</v>
      </c>
      <c r="N31" s="2">
        <f t="shared" si="2"/>
        <v>4084550.6329113925</v>
      </c>
    </row>
    <row r="32" spans="1:14" x14ac:dyDescent="0.25">
      <c r="A32">
        <v>2022</v>
      </c>
      <c r="B32">
        <v>1220203</v>
      </c>
      <c r="C32" t="s">
        <v>40</v>
      </c>
      <c r="D32" t="s">
        <v>14</v>
      </c>
      <c r="E32" s="2">
        <v>61854000</v>
      </c>
      <c r="F32" s="2">
        <v>51545000</v>
      </c>
      <c r="G32" s="2">
        <v>10309000</v>
      </c>
      <c r="H32" s="2">
        <v>7731750</v>
      </c>
      <c r="I32" s="2">
        <v>773175</v>
      </c>
      <c r="J32" s="2"/>
      <c r="M32" s="2">
        <f t="shared" si="1"/>
        <v>5722981.4886983633</v>
      </c>
      <c r="N32" s="2">
        <f t="shared" si="2"/>
        <v>6997723.1012658235</v>
      </c>
    </row>
    <row r="33" spans="1:14" x14ac:dyDescent="0.25">
      <c r="A33">
        <v>2022</v>
      </c>
      <c r="B33">
        <v>1220385</v>
      </c>
      <c r="C33" t="s">
        <v>41</v>
      </c>
      <c r="D33" t="s">
        <v>14</v>
      </c>
      <c r="E33" s="2">
        <v>43988000</v>
      </c>
      <c r="F33" s="2">
        <v>36656666.666666672</v>
      </c>
      <c r="G33" s="2">
        <v>7331333.3333333349</v>
      </c>
      <c r="H33" s="2">
        <v>5498500.0000000009</v>
      </c>
      <c r="I33" s="2">
        <v>549850.00000000012</v>
      </c>
      <c r="J33" s="2"/>
      <c r="M33" s="2">
        <f t="shared" si="1"/>
        <v>4069947.1291244477</v>
      </c>
      <c r="N33" s="2">
        <f t="shared" si="2"/>
        <v>4976490.5063291145</v>
      </c>
    </row>
    <row r="34" spans="1:14" x14ac:dyDescent="0.25">
      <c r="A34">
        <v>2022</v>
      </c>
      <c r="B34">
        <v>1220430</v>
      </c>
      <c r="C34" t="s">
        <v>42</v>
      </c>
      <c r="D34" t="s">
        <v>14</v>
      </c>
      <c r="E34" s="2">
        <v>14000000</v>
      </c>
      <c r="F34" s="2">
        <v>11666666.66666667</v>
      </c>
      <c r="G34" s="2">
        <v>2333333.333333333</v>
      </c>
      <c r="H34" s="2">
        <v>1750000</v>
      </c>
      <c r="I34" s="2">
        <v>175000</v>
      </c>
      <c r="J34" s="2"/>
      <c r="M34" s="2">
        <f t="shared" si="1"/>
        <v>1295336.4510262406</v>
      </c>
      <c r="N34" s="2">
        <f t="shared" si="2"/>
        <v>1583860.7594936709</v>
      </c>
    </row>
    <row r="35" spans="1:14" x14ac:dyDescent="0.25">
      <c r="A35">
        <v>2022</v>
      </c>
      <c r="B35">
        <v>1220797</v>
      </c>
      <c r="C35" t="s">
        <v>43</v>
      </c>
      <c r="D35" t="s">
        <v>14</v>
      </c>
      <c r="E35" s="2">
        <v>37020000</v>
      </c>
      <c r="F35" s="2">
        <v>30850000</v>
      </c>
      <c r="G35" s="2">
        <v>6170000</v>
      </c>
      <c r="H35" s="2">
        <v>4627500</v>
      </c>
      <c r="I35" s="2">
        <v>462750</v>
      </c>
      <c r="J35" s="2"/>
      <c r="M35" s="2">
        <f t="shared" si="1"/>
        <v>3425239.6726422445</v>
      </c>
      <c r="N35" s="2">
        <f t="shared" si="2"/>
        <v>4188180.3797468357</v>
      </c>
    </row>
    <row r="36" spans="1:14" x14ac:dyDescent="0.25">
      <c r="A36">
        <v>2022</v>
      </c>
      <c r="B36">
        <v>1220993</v>
      </c>
      <c r="C36" t="s">
        <v>44</v>
      </c>
      <c r="D36" t="s">
        <v>14</v>
      </c>
      <c r="E36" s="2">
        <v>14220000</v>
      </c>
      <c r="F36" s="2">
        <v>11850000</v>
      </c>
      <c r="G36" s="2">
        <v>2370000</v>
      </c>
      <c r="H36" s="2">
        <v>1777500</v>
      </c>
      <c r="I36" s="2">
        <v>177750</v>
      </c>
      <c r="J36" s="2"/>
      <c r="M36" s="2">
        <f t="shared" si="1"/>
        <v>1315691.7381137959</v>
      </c>
      <c r="N36" s="2">
        <f t="shared" si="2"/>
        <v>1608750</v>
      </c>
    </row>
    <row r="37" spans="1:14" x14ac:dyDescent="0.25">
      <c r="A37">
        <v>2022</v>
      </c>
      <c r="B37">
        <v>1221106</v>
      </c>
      <c r="C37" t="s">
        <v>45</v>
      </c>
      <c r="D37" t="s">
        <v>14</v>
      </c>
      <c r="E37" s="2">
        <v>62598000</v>
      </c>
      <c r="F37" s="2">
        <v>52165000</v>
      </c>
      <c r="G37" s="2">
        <v>10433000</v>
      </c>
      <c r="H37" s="2">
        <v>7824750</v>
      </c>
      <c r="I37" s="2">
        <v>782475</v>
      </c>
      <c r="J37" s="2"/>
      <c r="M37" s="2">
        <f t="shared" si="1"/>
        <v>5791819.3686671862</v>
      </c>
      <c r="N37" s="2">
        <f t="shared" si="2"/>
        <v>7081893.9873417728</v>
      </c>
    </row>
    <row r="38" spans="1:14" x14ac:dyDescent="0.25">
      <c r="E38" s="2">
        <f>SUM(E2:E37)</f>
        <v>1685016500</v>
      </c>
      <c r="F38" s="2">
        <f t="shared" ref="F38:I38" si="3">SUM(F2:F37)</f>
        <v>1404180416.666667</v>
      </c>
      <c r="G38" s="2">
        <f t="shared" si="3"/>
        <v>280836083.33333343</v>
      </c>
      <c r="H38" s="2">
        <f t="shared" si="3"/>
        <v>210627062.5</v>
      </c>
      <c r="I38" s="2">
        <f t="shared" si="3"/>
        <v>21062706.25</v>
      </c>
      <c r="J38" s="2">
        <f t="shared" ref="J38" si="4">SUM(J2:J37)</f>
        <v>29631000</v>
      </c>
      <c r="K38" s="2">
        <f t="shared" ref="K38" si="5">SUM(K2:K37)</f>
        <v>22202250</v>
      </c>
      <c r="L38" s="2"/>
      <c r="M38" s="2">
        <f t="shared" ref="M38" si="6">SUM(M2:M37)</f>
        <v>155904520.93076122</v>
      </c>
      <c r="N38" s="2">
        <f t="shared" ref="N38" si="7">SUM(N2:N37)</f>
        <v>190630822.38924053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Nicolas Cortes Paredes (gabriel.cortes)</cp:lastModifiedBy>
  <dcterms:created xsi:type="dcterms:W3CDTF">2025-09-25T18:21:02Z</dcterms:created>
  <dcterms:modified xsi:type="dcterms:W3CDTF">2025-09-25T18:56:51Z</dcterms:modified>
</cp:coreProperties>
</file>